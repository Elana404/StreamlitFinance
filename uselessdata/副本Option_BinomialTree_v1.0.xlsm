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enchuqi/Desktop/"/>
    </mc:Choice>
  </mc:AlternateContent>
  <xr:revisionPtr revIDLastSave="0" documentId="13_ncr:1_{0F87D2F7-24F7-9A46-B02C-49E241B47821}" xr6:coauthVersionLast="47" xr6:coauthVersionMax="47" xr10:uidLastSave="{00000000-0000-0000-0000-000000000000}"/>
  <bookViews>
    <workbookView xWindow="0" yWindow="740" windowWidth="28560" windowHeight="16960" xr2:uid="{00000000-000D-0000-FFFF-FFFF00000000}"/>
  </bookViews>
  <sheets>
    <sheet name="CB_S" sheetId="40" r:id="rId1"/>
  </sheets>
  <functionGroups builtInGroupCount="19"/>
  <definedNames>
    <definedName name="_xlnm.Print_Area" localSheetId="0">CB_S!$A$1:$L$61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40" l="1"/>
  <c r="B10" i="40" s="1"/>
  <c r="C36" i="40"/>
  <c r="G1999" i="40"/>
  <c r="G2000" i="40"/>
  <c r="D12" i="40"/>
  <c r="C12" i="40"/>
  <c r="H7" i="40"/>
  <c r="H1992" i="40" s="1"/>
  <c r="I7" i="40" l="1"/>
  <c r="B8" i="40"/>
  <c r="G8" i="40"/>
  <c r="G19" i="40" s="1"/>
  <c r="G2002" i="40" s="1"/>
  <c r="I1985" i="40"/>
  <c r="J7" i="40"/>
  <c r="C10" i="40"/>
  <c r="G18" i="40" l="1"/>
  <c r="G2001" i="40" s="1"/>
  <c r="H8" i="40"/>
  <c r="C9" i="40"/>
  <c r="C8" i="40"/>
  <c r="K7" i="40"/>
  <c r="J1978" i="40"/>
  <c r="H9" i="40" l="1"/>
  <c r="I8" i="40"/>
  <c r="H18" i="40"/>
  <c r="H19" i="40"/>
  <c r="H11" i="40"/>
  <c r="H1993" i="40" s="1"/>
  <c r="L7" i="40"/>
  <c r="K1971" i="40"/>
  <c r="H12" i="40" l="1"/>
  <c r="H2007" i="40" s="1"/>
  <c r="H10" i="40"/>
  <c r="H13" i="40" s="1"/>
  <c r="H14" i="40" s="1"/>
  <c r="J8" i="40"/>
  <c r="I19" i="40"/>
  <c r="I18" i="40"/>
  <c r="I9" i="40"/>
  <c r="H2008" i="40"/>
  <c r="H1994" i="40"/>
  <c r="H2009" i="40"/>
  <c r="H1995" i="40"/>
  <c r="L1964" i="40"/>
  <c r="M7" i="40"/>
  <c r="I2015" i="40" l="1"/>
  <c r="I2001" i="40"/>
  <c r="I1987" i="40"/>
  <c r="I12" i="40"/>
  <c r="I2014" i="40" s="1"/>
  <c r="I11" i="40"/>
  <c r="I10" i="40"/>
  <c r="I2016" i="40"/>
  <c r="I1988" i="40"/>
  <c r="I2002" i="40"/>
  <c r="J9" i="40"/>
  <c r="J11" i="40" s="1"/>
  <c r="K8" i="40"/>
  <c r="J10" i="40"/>
  <c r="J18" i="40"/>
  <c r="J19" i="40"/>
  <c r="J12" i="40"/>
  <c r="J2021" i="40" s="1"/>
  <c r="M1957" i="40"/>
  <c r="N7" i="40"/>
  <c r="J2007" i="40" l="1"/>
  <c r="L8" i="40"/>
  <c r="K19" i="40"/>
  <c r="K9" i="40"/>
  <c r="K10" i="40" s="1"/>
  <c r="K18" i="40"/>
  <c r="I2000" i="40"/>
  <c r="J1993" i="40" s="1"/>
  <c r="I1986" i="40"/>
  <c r="J1979" i="40" s="1"/>
  <c r="J13" i="40"/>
  <c r="J14" i="40" s="1"/>
  <c r="J2008" i="40"/>
  <c r="J2022" i="40"/>
  <c r="J1980" i="40"/>
  <c r="J1994" i="40"/>
  <c r="I13" i="40"/>
  <c r="I14" i="40" s="1"/>
  <c r="J1995" i="40"/>
  <c r="J2009" i="40"/>
  <c r="J2023" i="40"/>
  <c r="J1981" i="40"/>
  <c r="N1950" i="40"/>
  <c r="O7" i="40"/>
  <c r="K1973" i="40" l="1"/>
  <c r="K2029" i="40"/>
  <c r="K1987" i="40"/>
  <c r="K2001" i="40"/>
  <c r="K2015" i="40"/>
  <c r="M8" i="40"/>
  <c r="L9" i="40"/>
  <c r="L10" i="40" s="1"/>
  <c r="L19" i="40"/>
  <c r="L18" i="40"/>
  <c r="K2002" i="40"/>
  <c r="K2016" i="40"/>
  <c r="K2030" i="40"/>
  <c r="K1974" i="40"/>
  <c r="K1988" i="40"/>
  <c r="K11" i="40"/>
  <c r="K12" i="40"/>
  <c r="K2028" i="40" s="1"/>
  <c r="P7" i="40"/>
  <c r="O1943" i="40"/>
  <c r="K13" i="40" l="1"/>
  <c r="K14" i="40" s="1"/>
  <c r="K2014" i="40"/>
  <c r="K1972" i="40"/>
  <c r="K1986" i="40"/>
  <c r="K2000" i="40"/>
  <c r="L11" i="40"/>
  <c r="L2021" i="40" s="1"/>
  <c r="M9" i="40"/>
  <c r="M12" i="40" s="1"/>
  <c r="M18" i="40"/>
  <c r="N8" i="40"/>
  <c r="M19" i="40"/>
  <c r="L1994" i="40"/>
  <c r="L1966" i="40"/>
  <c r="L2008" i="40"/>
  <c r="L2036" i="40"/>
  <c r="L1980" i="40"/>
  <c r="L2022" i="40"/>
  <c r="L12" i="40"/>
  <c r="L2035" i="40" s="1"/>
  <c r="L2009" i="40"/>
  <c r="L1967" i="40"/>
  <c r="L1981" i="40"/>
  <c r="L2037" i="40"/>
  <c r="L1995" i="40"/>
  <c r="L2023" i="40"/>
  <c r="P1936" i="40"/>
  <c r="Q7" i="40"/>
  <c r="M11" i="40" l="1"/>
  <c r="M2014" i="40" s="1"/>
  <c r="M2028" i="40"/>
  <c r="L13" i="40"/>
  <c r="L14" i="40" s="1"/>
  <c r="L1993" i="40"/>
  <c r="M1986" i="40" s="1"/>
  <c r="N19" i="40"/>
  <c r="O8" i="40"/>
  <c r="N9" i="40"/>
  <c r="N10" i="40" s="1"/>
  <c r="N18" i="40"/>
  <c r="M1987" i="40"/>
  <c r="M2001" i="40"/>
  <c r="M2029" i="40"/>
  <c r="M1959" i="40"/>
  <c r="M2015" i="40"/>
  <c r="M1973" i="40"/>
  <c r="M2043" i="40"/>
  <c r="L1979" i="40"/>
  <c r="M1972" i="40" s="1"/>
  <c r="M10" i="40"/>
  <c r="M13" i="40" s="1"/>
  <c r="M14" i="40" s="1"/>
  <c r="M2016" i="40"/>
  <c r="M1988" i="40"/>
  <c r="M2030" i="40"/>
  <c r="M2002" i="40"/>
  <c r="M1960" i="40"/>
  <c r="M2044" i="40"/>
  <c r="M1974" i="40"/>
  <c r="L2007" i="40"/>
  <c r="M2000" i="40" s="1"/>
  <c r="M2042" i="40"/>
  <c r="L1965" i="40"/>
  <c r="M1958" i="40" s="1"/>
  <c r="Q1929" i="40"/>
  <c r="R7" i="40"/>
  <c r="N12" i="40" l="1"/>
  <c r="N2049" i="40" s="1"/>
  <c r="N1952" i="40"/>
  <c r="N2036" i="40"/>
  <c r="N1994" i="40"/>
  <c r="N1980" i="40"/>
  <c r="N2022" i="40"/>
  <c r="N2050" i="40"/>
  <c r="N1966" i="40"/>
  <c r="N2008" i="40"/>
  <c r="N1967" i="40"/>
  <c r="N2009" i="40"/>
  <c r="N1981" i="40"/>
  <c r="N1953" i="40"/>
  <c r="N2051" i="40"/>
  <c r="N2023" i="40"/>
  <c r="N2037" i="40"/>
  <c r="N1995" i="40"/>
  <c r="N11" i="40"/>
  <c r="N2035" i="40" s="1"/>
  <c r="O9" i="40"/>
  <c r="O18" i="40"/>
  <c r="P8" i="40"/>
  <c r="O12" i="40"/>
  <c r="O10" i="40"/>
  <c r="O11" i="40"/>
  <c r="O19" i="40"/>
  <c r="S7" i="40"/>
  <c r="R1922" i="40"/>
  <c r="O2028" i="40" l="1"/>
  <c r="O13" i="40"/>
  <c r="O14" i="40" s="1"/>
  <c r="O2016" i="40"/>
  <c r="O2002" i="40"/>
  <c r="O2044" i="40"/>
  <c r="O1988" i="40"/>
  <c r="O2030" i="40"/>
  <c r="O1946" i="40"/>
  <c r="O2058" i="40"/>
  <c r="O1974" i="40"/>
  <c r="O1960" i="40"/>
  <c r="Q8" i="40"/>
  <c r="P9" i="40"/>
  <c r="P10" i="40" s="1"/>
  <c r="P11" i="40"/>
  <c r="P19" i="40"/>
  <c r="P18" i="40"/>
  <c r="N1993" i="40"/>
  <c r="O1986" i="40" s="1"/>
  <c r="N1965" i="40"/>
  <c r="N2007" i="40"/>
  <c r="O2000" i="40" s="1"/>
  <c r="N2021" i="40"/>
  <c r="O2014" i="40" s="1"/>
  <c r="N1979" i="40"/>
  <c r="O1972" i="40" s="1"/>
  <c r="P1965" i="40" s="1"/>
  <c r="O2056" i="40"/>
  <c r="O2042" i="40"/>
  <c r="N13" i="40"/>
  <c r="N14" i="40" s="1"/>
  <c r="O2029" i="40"/>
  <c r="O2001" i="40"/>
  <c r="O2015" i="40"/>
  <c r="O2057" i="40"/>
  <c r="O1945" i="40"/>
  <c r="O1987" i="40"/>
  <c r="O2043" i="40"/>
  <c r="O1973" i="40"/>
  <c r="O1959" i="40"/>
  <c r="O1958" i="40"/>
  <c r="N1951" i="40"/>
  <c r="O1944" i="40" s="1"/>
  <c r="T7" i="40"/>
  <c r="S1915" i="40"/>
  <c r="P12" i="40" l="1"/>
  <c r="P13" i="40"/>
  <c r="P14" i="40" s="1"/>
  <c r="P2007" i="40"/>
  <c r="P2021" i="40"/>
  <c r="P2049" i="40"/>
  <c r="P2063" i="40"/>
  <c r="P2023" i="40"/>
  <c r="P1967" i="40"/>
  <c r="P1981" i="40"/>
  <c r="P1995" i="40"/>
  <c r="P2037" i="40"/>
  <c r="P2051" i="40"/>
  <c r="P2009" i="40"/>
  <c r="P1953" i="40"/>
  <c r="P1939" i="40"/>
  <c r="P2065" i="40"/>
  <c r="Q18" i="40"/>
  <c r="R8" i="40"/>
  <c r="Q9" i="40"/>
  <c r="Q10" i="40" s="1"/>
  <c r="Q19" i="40"/>
  <c r="P1951" i="40"/>
  <c r="P1994" i="40"/>
  <c r="P1938" i="40"/>
  <c r="P2050" i="40"/>
  <c r="P2036" i="40"/>
  <c r="P1952" i="40"/>
  <c r="P1966" i="40"/>
  <c r="P2022" i="40"/>
  <c r="P2008" i="40"/>
  <c r="P2064" i="40"/>
  <c r="P1980" i="40"/>
  <c r="P1979" i="40"/>
  <c r="P1937" i="40"/>
  <c r="P2035" i="40"/>
  <c r="P1993" i="40"/>
  <c r="T1908" i="40"/>
  <c r="U7" i="40"/>
  <c r="Q11" i="40" l="1"/>
  <c r="Q2029" i="40"/>
  <c r="Q2001" i="40"/>
  <c r="Q2043" i="40"/>
  <c r="Q2071" i="40"/>
  <c r="Q2015" i="40"/>
  <c r="Q1945" i="40"/>
  <c r="Q2057" i="40"/>
  <c r="Q1959" i="40"/>
  <c r="Q1987" i="40"/>
  <c r="Q1931" i="40"/>
  <c r="Q1973" i="40"/>
  <c r="Q2016" i="40"/>
  <c r="Q2030" i="40"/>
  <c r="Q1988" i="40"/>
  <c r="Q2002" i="40"/>
  <c r="Q1932" i="40"/>
  <c r="Q1946" i="40"/>
  <c r="Q1974" i="40"/>
  <c r="Q2058" i="40"/>
  <c r="Q2044" i="40"/>
  <c r="Q1960" i="40"/>
  <c r="Q2072" i="40"/>
  <c r="R9" i="40"/>
  <c r="R12" i="40" s="1"/>
  <c r="S8" i="40"/>
  <c r="R19" i="40"/>
  <c r="R18" i="40"/>
  <c r="Q12" i="40"/>
  <c r="Q2070" i="40" s="1"/>
  <c r="Q1986" i="40"/>
  <c r="U1901" i="40"/>
  <c r="V7" i="40"/>
  <c r="R11" i="40" l="1"/>
  <c r="R10" i="40"/>
  <c r="R2022" i="40"/>
  <c r="R1980" i="40"/>
  <c r="R1924" i="40"/>
  <c r="R2036" i="40"/>
  <c r="R2050" i="40"/>
  <c r="R1966" i="40"/>
  <c r="R2064" i="40"/>
  <c r="R1938" i="40"/>
  <c r="R2008" i="40"/>
  <c r="R1994" i="40"/>
  <c r="R2078" i="40"/>
  <c r="R1952" i="40"/>
  <c r="S18" i="40"/>
  <c r="S19" i="40"/>
  <c r="S9" i="40"/>
  <c r="S11" i="40" s="1"/>
  <c r="T8" i="40"/>
  <c r="Q2000" i="40"/>
  <c r="R1993" i="40" s="1"/>
  <c r="Q1958" i="40"/>
  <c r="R1951" i="40" s="1"/>
  <c r="R2077" i="40"/>
  <c r="R2063" i="40"/>
  <c r="R2009" i="40"/>
  <c r="R1925" i="40"/>
  <c r="R2023" i="40"/>
  <c r="R1981" i="40"/>
  <c r="R2079" i="40"/>
  <c r="R2051" i="40"/>
  <c r="R1953" i="40"/>
  <c r="R1967" i="40"/>
  <c r="R1995" i="40"/>
  <c r="R2065" i="40"/>
  <c r="R1939" i="40"/>
  <c r="R2037" i="40"/>
  <c r="Q13" i="40"/>
  <c r="Q14" i="40" s="1"/>
  <c r="Q1930" i="40"/>
  <c r="R1923" i="40" s="1"/>
  <c r="R1979" i="40"/>
  <c r="Q2056" i="40"/>
  <c r="R2049" i="40" s="1"/>
  <c r="Q2014" i="40"/>
  <c r="R2007" i="40" s="1"/>
  <c r="Q2042" i="40"/>
  <c r="R2035" i="40" s="1"/>
  <c r="Q2028" i="40"/>
  <c r="R2021" i="40" s="1"/>
  <c r="R13" i="40"/>
  <c r="R14" i="40" s="1"/>
  <c r="Q1972" i="40"/>
  <c r="R1965" i="40" s="1"/>
  <c r="Q1944" i="40"/>
  <c r="R1937" i="40" s="1"/>
  <c r="V1894" i="40"/>
  <c r="W7" i="40"/>
  <c r="S12" i="40" l="1"/>
  <c r="S2042" i="40"/>
  <c r="S10" i="40"/>
  <c r="S2070" i="40"/>
  <c r="S2084" i="40"/>
  <c r="T18" i="40"/>
  <c r="T10" i="40"/>
  <c r="U8" i="40"/>
  <c r="T9" i="40"/>
  <c r="T12" i="40" s="1"/>
  <c r="T11" i="40"/>
  <c r="T19" i="40"/>
  <c r="S2057" i="40"/>
  <c r="S1973" i="40"/>
  <c r="S1987" i="40"/>
  <c r="S1931" i="40"/>
  <c r="S2029" i="40"/>
  <c r="S2015" i="40"/>
  <c r="S2043" i="40"/>
  <c r="S1945" i="40"/>
  <c r="S2085" i="40"/>
  <c r="S1959" i="40"/>
  <c r="S2001" i="40"/>
  <c r="S1917" i="40"/>
  <c r="S2071" i="40"/>
  <c r="S1930" i="40"/>
  <c r="S2028" i="40"/>
  <c r="T2021" i="40" s="1"/>
  <c r="S1916" i="40"/>
  <c r="S1944" i="40"/>
  <c r="S13" i="40"/>
  <c r="S14" i="40" s="1"/>
  <c r="S2014" i="40"/>
  <c r="S1972" i="40"/>
  <c r="S2056" i="40"/>
  <c r="S1960" i="40"/>
  <c r="S1974" i="40"/>
  <c r="S1918" i="40"/>
  <c r="S2016" i="40"/>
  <c r="S1932" i="40"/>
  <c r="S2030" i="40"/>
  <c r="S2072" i="40"/>
  <c r="S1988" i="40"/>
  <c r="S1946" i="40"/>
  <c r="S2086" i="40"/>
  <c r="S2044" i="40"/>
  <c r="S2058" i="40"/>
  <c r="S2002" i="40"/>
  <c r="S1958" i="40"/>
  <c r="T1951" i="40" s="1"/>
  <c r="S2000" i="40"/>
  <c r="S1986" i="40"/>
  <c r="X7" i="40"/>
  <c r="W1887" i="40"/>
  <c r="T2077" i="40" l="1"/>
  <c r="T2091" i="40"/>
  <c r="T13" i="40"/>
  <c r="T14" i="40" s="1"/>
  <c r="T1965" i="40"/>
  <c r="T2063" i="40"/>
  <c r="T1979" i="40"/>
  <c r="T2049" i="40"/>
  <c r="T1937" i="40"/>
  <c r="T2065" i="40"/>
  <c r="T1981" i="40"/>
  <c r="T2051" i="40"/>
  <c r="T2037" i="40"/>
  <c r="T1967" i="40"/>
  <c r="T2023" i="40"/>
  <c r="T1953" i="40"/>
  <c r="T2079" i="40"/>
  <c r="T2093" i="40"/>
  <c r="T2009" i="40"/>
  <c r="T1925" i="40"/>
  <c r="T1939" i="40"/>
  <c r="T1995" i="40"/>
  <c r="T1911" i="40"/>
  <c r="U9" i="40"/>
  <c r="U11" i="40" s="1"/>
  <c r="U18" i="40"/>
  <c r="V8" i="40"/>
  <c r="U19" i="40"/>
  <c r="T2050" i="40"/>
  <c r="T2078" i="40"/>
  <c r="T2008" i="40"/>
  <c r="T1924" i="40"/>
  <c r="T2092" i="40"/>
  <c r="T1910" i="40"/>
  <c r="T1952" i="40"/>
  <c r="T1938" i="40"/>
  <c r="T1966" i="40"/>
  <c r="T2064" i="40"/>
  <c r="T1994" i="40"/>
  <c r="T2022" i="40"/>
  <c r="T1980" i="40"/>
  <c r="T2036" i="40"/>
  <c r="T2007" i="40"/>
  <c r="T2035" i="40"/>
  <c r="T1993" i="40"/>
  <c r="T1909" i="40"/>
  <c r="T1923" i="40"/>
  <c r="X1880" i="40"/>
  <c r="Y7" i="40"/>
  <c r="U10" i="40" l="1"/>
  <c r="U1902" i="40"/>
  <c r="U2014" i="40"/>
  <c r="U1944" i="40"/>
  <c r="U2044" i="40"/>
  <c r="U2016" i="40"/>
  <c r="U1946" i="40"/>
  <c r="U2002" i="40"/>
  <c r="U1974" i="40"/>
  <c r="U1988" i="40"/>
  <c r="U1960" i="40"/>
  <c r="U2100" i="40"/>
  <c r="U2086" i="40"/>
  <c r="U2072" i="40"/>
  <c r="U2058" i="40"/>
  <c r="U1918" i="40"/>
  <c r="U1932" i="40"/>
  <c r="U1904" i="40"/>
  <c r="U2030" i="40"/>
  <c r="U2042" i="40"/>
  <c r="U1916" i="40"/>
  <c r="U1930" i="40"/>
  <c r="U2028" i="40"/>
  <c r="U12" i="40"/>
  <c r="U2098" i="40" s="1"/>
  <c r="U2056" i="40"/>
  <c r="U2070" i="40"/>
  <c r="U2029" i="40"/>
  <c r="U2001" i="40"/>
  <c r="U1959" i="40"/>
  <c r="U1903" i="40"/>
  <c r="U1917" i="40"/>
  <c r="U1931" i="40"/>
  <c r="U1973" i="40"/>
  <c r="U2043" i="40"/>
  <c r="U2085" i="40"/>
  <c r="U2057" i="40"/>
  <c r="U2071" i="40"/>
  <c r="U2015" i="40"/>
  <c r="U2099" i="40"/>
  <c r="U1987" i="40"/>
  <c r="U1945" i="40"/>
  <c r="V19" i="40"/>
  <c r="W8" i="40"/>
  <c r="V9" i="40"/>
  <c r="V10" i="40" s="1"/>
  <c r="V12" i="40"/>
  <c r="V18" i="40"/>
  <c r="V11" i="40"/>
  <c r="U2084" i="40"/>
  <c r="U2000" i="40"/>
  <c r="U1958" i="40"/>
  <c r="U1986" i="40"/>
  <c r="U1972" i="40"/>
  <c r="Y1873" i="40"/>
  <c r="Z7" i="40"/>
  <c r="V1965" i="40" l="1"/>
  <c r="U13" i="40"/>
  <c r="U14" i="40" s="1"/>
  <c r="V1979" i="40"/>
  <c r="V2077" i="40"/>
  <c r="V2063" i="40"/>
  <c r="V1923" i="40"/>
  <c r="V1993" i="40"/>
  <c r="V2021" i="40"/>
  <c r="V2007" i="40"/>
  <c r="V2091" i="40"/>
  <c r="V2105" i="40"/>
  <c r="V2009" i="40"/>
  <c r="V2093" i="40"/>
  <c r="V2023" i="40"/>
  <c r="V1967" i="40"/>
  <c r="V1981" i="40"/>
  <c r="V2051" i="40"/>
  <c r="V2037" i="40"/>
  <c r="V1939" i="40"/>
  <c r="V2065" i="40"/>
  <c r="V2107" i="40"/>
  <c r="V1925" i="40"/>
  <c r="V2079" i="40"/>
  <c r="V1897" i="40"/>
  <c r="V1995" i="40"/>
  <c r="V1953" i="40"/>
  <c r="V1911" i="40"/>
  <c r="V1994" i="40"/>
  <c r="V2022" i="40"/>
  <c r="V1952" i="40"/>
  <c r="V1896" i="40"/>
  <c r="V1910" i="40"/>
  <c r="V1980" i="40"/>
  <c r="V1938" i="40"/>
  <c r="V2036" i="40"/>
  <c r="V2050" i="40"/>
  <c r="V2078" i="40"/>
  <c r="V2064" i="40"/>
  <c r="V2008" i="40"/>
  <c r="V2106" i="40"/>
  <c r="V1924" i="40"/>
  <c r="V1966" i="40"/>
  <c r="V2092" i="40"/>
  <c r="V1895" i="40"/>
  <c r="V13" i="40"/>
  <c r="V14" i="40" s="1"/>
  <c r="V2035" i="40"/>
  <c r="V1937" i="40"/>
  <c r="W19" i="40"/>
  <c r="W18" i="40"/>
  <c r="W9" i="40"/>
  <c r="W12" i="40" s="1"/>
  <c r="X8" i="40"/>
  <c r="W10" i="40"/>
  <c r="V1951" i="40"/>
  <c r="V2049" i="40"/>
  <c r="V1909" i="40"/>
  <c r="Z1866" i="40"/>
  <c r="AA7" i="40"/>
  <c r="W11" i="40" l="1"/>
  <c r="W1958" i="40" s="1"/>
  <c r="X19" i="40"/>
  <c r="Y8" i="40"/>
  <c r="X18" i="40"/>
  <c r="X9" i="40"/>
  <c r="X12" i="40" s="1"/>
  <c r="W2112" i="40"/>
  <c r="W2098" i="40"/>
  <c r="W13" i="40"/>
  <c r="W14" i="40" s="1"/>
  <c r="W2028" i="40"/>
  <c r="W1944" i="40"/>
  <c r="W1930" i="40"/>
  <c r="W1986" i="40"/>
  <c r="W1916" i="40"/>
  <c r="W2014" i="40"/>
  <c r="W2001" i="40"/>
  <c r="W2099" i="40"/>
  <c r="W2085" i="40"/>
  <c r="W2015" i="40"/>
  <c r="W2057" i="40"/>
  <c r="W2113" i="40"/>
  <c r="W1931" i="40"/>
  <c r="W2071" i="40"/>
  <c r="W1889" i="40"/>
  <c r="W1987" i="40"/>
  <c r="W1903" i="40"/>
  <c r="W1945" i="40"/>
  <c r="W2043" i="40"/>
  <c r="W2029" i="40"/>
  <c r="W1917" i="40"/>
  <c r="W1973" i="40"/>
  <c r="W1959" i="40"/>
  <c r="W2016" i="40"/>
  <c r="W2002" i="40"/>
  <c r="W2100" i="40"/>
  <c r="W2086" i="40"/>
  <c r="W2072" i="40"/>
  <c r="W2114" i="40"/>
  <c r="W1918" i="40"/>
  <c r="W1988" i="40"/>
  <c r="W1946" i="40"/>
  <c r="W2030" i="40"/>
  <c r="W2058" i="40"/>
  <c r="W1932" i="40"/>
  <c r="W1904" i="40"/>
  <c r="W1890" i="40"/>
  <c r="W1974" i="40"/>
  <c r="W1960" i="40"/>
  <c r="W2044" i="40"/>
  <c r="W1972" i="40"/>
  <c r="W2070" i="40"/>
  <c r="W2042" i="40"/>
  <c r="W1888" i="40"/>
  <c r="W2000" i="40"/>
  <c r="AA1859" i="40"/>
  <c r="AB7" i="40"/>
  <c r="W2056" i="40" l="1"/>
  <c r="W2084" i="40"/>
  <c r="W1902" i="40"/>
  <c r="X11" i="40"/>
  <c r="X1895" i="40" s="1"/>
  <c r="X2119" i="40"/>
  <c r="X2106" i="40"/>
  <c r="X1882" i="40"/>
  <c r="X1924" i="40"/>
  <c r="X1910" i="40"/>
  <c r="X1896" i="40"/>
  <c r="X2036" i="40"/>
  <c r="X2022" i="40"/>
  <c r="X2050" i="40"/>
  <c r="X2078" i="40"/>
  <c r="X2120" i="40"/>
  <c r="X1938" i="40"/>
  <c r="X1980" i="40"/>
  <c r="X1966" i="40"/>
  <c r="X1952" i="40"/>
  <c r="X1994" i="40"/>
  <c r="X2008" i="40"/>
  <c r="X2092" i="40"/>
  <c r="X2064" i="40"/>
  <c r="X1953" i="40"/>
  <c r="X2051" i="40"/>
  <c r="X2093" i="40"/>
  <c r="X1911" i="40"/>
  <c r="X2121" i="40"/>
  <c r="X1981" i="40"/>
  <c r="X1897" i="40"/>
  <c r="X2037" i="40"/>
  <c r="X2009" i="40"/>
  <c r="X2107" i="40"/>
  <c r="X1883" i="40"/>
  <c r="X1925" i="40"/>
  <c r="X1967" i="40"/>
  <c r="X2065" i="40"/>
  <c r="X1939" i="40"/>
  <c r="X2023" i="40"/>
  <c r="X1995" i="40"/>
  <c r="X2079" i="40"/>
  <c r="X1937" i="40"/>
  <c r="X1993" i="40"/>
  <c r="X2049" i="40"/>
  <c r="X1923" i="40"/>
  <c r="X2077" i="40"/>
  <c r="X10" i="40"/>
  <c r="Y18" i="40"/>
  <c r="Z8" i="40"/>
  <c r="Y9" i="40"/>
  <c r="Y10" i="40" s="1"/>
  <c r="Y19" i="40"/>
  <c r="X1909" i="40"/>
  <c r="X1965" i="40"/>
  <c r="X1979" i="40"/>
  <c r="AB1852" i="40"/>
  <c r="AC7" i="40"/>
  <c r="X1881" i="40" l="1"/>
  <c r="X1951" i="40"/>
  <c r="X2063" i="40"/>
  <c r="X2091" i="40"/>
  <c r="X2007" i="40"/>
  <c r="X13" i="40"/>
  <c r="X14" i="40" s="1"/>
  <c r="X2105" i="40"/>
  <c r="X2035" i="40"/>
  <c r="X2021" i="40"/>
  <c r="Y12" i="40"/>
  <c r="Y11" i="40"/>
  <c r="Y1958" i="40" s="1"/>
  <c r="Y2000" i="40"/>
  <c r="Y1986" i="40"/>
  <c r="Z19" i="40"/>
  <c r="AA8" i="40"/>
  <c r="Z18" i="40"/>
  <c r="Z9" i="40"/>
  <c r="Y2100" i="40"/>
  <c r="Y1876" i="40"/>
  <c r="Y1918" i="40"/>
  <c r="Y1904" i="40"/>
  <c r="Y2128" i="40"/>
  <c r="Y1988" i="40"/>
  <c r="Y2030" i="40"/>
  <c r="Y2114" i="40"/>
  <c r="Y2058" i="40"/>
  <c r="Y1932" i="40"/>
  <c r="Y1974" i="40"/>
  <c r="Y1960" i="40"/>
  <c r="Y1890" i="40"/>
  <c r="Y2016" i="40"/>
  <c r="Y2002" i="40"/>
  <c r="Y2044" i="40"/>
  <c r="Y2086" i="40"/>
  <c r="Y2072" i="40"/>
  <c r="Y1946" i="40"/>
  <c r="Y1973" i="40"/>
  <c r="Y1959" i="40"/>
  <c r="Y2057" i="40"/>
  <c r="Y2099" i="40"/>
  <c r="Y1931" i="40"/>
  <c r="Y2071" i="40"/>
  <c r="Y1945" i="40"/>
  <c r="Y1917" i="40"/>
  <c r="Y1903" i="40"/>
  <c r="Y1875" i="40"/>
  <c r="Y2029" i="40"/>
  <c r="Y2015" i="40"/>
  <c r="Y2113" i="40"/>
  <c r="Y1889" i="40"/>
  <c r="Y1987" i="40"/>
  <c r="Y2085" i="40"/>
  <c r="Y2127" i="40"/>
  <c r="Y2043" i="40"/>
  <c r="Y2001" i="40"/>
  <c r="AC1845" i="40"/>
  <c r="AD7" i="40"/>
  <c r="Y13" i="40" l="1"/>
  <c r="Y14" i="40" s="1"/>
  <c r="Y2042" i="40"/>
  <c r="Y2112" i="40"/>
  <c r="Y1972" i="40"/>
  <c r="Y1930" i="40"/>
  <c r="Y1902" i="40"/>
  <c r="Z2065" i="40"/>
  <c r="Z2107" i="40"/>
  <c r="Z1883" i="40"/>
  <c r="Z1925" i="40"/>
  <c r="Z2079" i="40"/>
  <c r="Z2135" i="40"/>
  <c r="Z1995" i="40"/>
  <c r="Z2009" i="40"/>
  <c r="Z2051" i="40"/>
  <c r="Z1869" i="40"/>
  <c r="Z2121" i="40"/>
  <c r="Z1897" i="40"/>
  <c r="Z1939" i="40"/>
  <c r="Z1981" i="40"/>
  <c r="Z1911" i="40"/>
  <c r="Z1953" i="40"/>
  <c r="Z2037" i="40"/>
  <c r="Z1967" i="40"/>
  <c r="Z2093" i="40"/>
  <c r="Z2023" i="40"/>
  <c r="AA18" i="40"/>
  <c r="AA9" i="40"/>
  <c r="AA11" i="40" s="1"/>
  <c r="AB8" i="40"/>
  <c r="AA19" i="40"/>
  <c r="AA10" i="40"/>
  <c r="Z2050" i="40"/>
  <c r="Z2092" i="40"/>
  <c r="Z1868" i="40"/>
  <c r="Z1910" i="40"/>
  <c r="Z2064" i="40"/>
  <c r="Z1896" i="40"/>
  <c r="Z1994" i="40"/>
  <c r="Z2078" i="40"/>
  <c r="Z2120" i="40"/>
  <c r="Z2106" i="40"/>
  <c r="Z1882" i="40"/>
  <c r="Z1924" i="40"/>
  <c r="Z1966" i="40"/>
  <c r="Z2134" i="40"/>
  <c r="Z1938" i="40"/>
  <c r="Z1980" i="40"/>
  <c r="Z2022" i="40"/>
  <c r="Z1952" i="40"/>
  <c r="Z2036" i="40"/>
  <c r="Z2008" i="40"/>
  <c r="Y2028" i="40"/>
  <c r="Y1888" i="40"/>
  <c r="Y2084" i="40"/>
  <c r="Y1944" i="40"/>
  <c r="Y2070" i="40"/>
  <c r="Y2056" i="40"/>
  <c r="Y2014" i="40"/>
  <c r="Y1874" i="40"/>
  <c r="Z11" i="40"/>
  <c r="Z12" i="40"/>
  <c r="Z10" i="40"/>
  <c r="Z2035" i="40"/>
  <c r="AA2028" i="40" s="1"/>
  <c r="Y2098" i="40"/>
  <c r="Z2091" i="40" s="1"/>
  <c r="AA2084" i="40" s="1"/>
  <c r="Y1916" i="40"/>
  <c r="Y2126" i="40"/>
  <c r="AD1838" i="40"/>
  <c r="AE7" i="40"/>
  <c r="Z1895" i="40" l="1"/>
  <c r="AA1888" i="40" s="1"/>
  <c r="Z1909" i="40"/>
  <c r="Z1979" i="40"/>
  <c r="AA1972" i="40" s="1"/>
  <c r="Z2105" i="40"/>
  <c r="AA2098" i="40" s="1"/>
  <c r="Z2007" i="40"/>
  <c r="AA2000" i="40" s="1"/>
  <c r="Z2077" i="40"/>
  <c r="AA2070" i="40" s="1"/>
  <c r="Z1951" i="40"/>
  <c r="AA1944" i="40" s="1"/>
  <c r="Z1937" i="40"/>
  <c r="AA1930" i="40" s="1"/>
  <c r="Z1965" i="40"/>
  <c r="AA1958" i="40" s="1"/>
  <c r="AA2001" i="40"/>
  <c r="AA2043" i="40"/>
  <c r="AA2085" i="40"/>
  <c r="AA1861" i="40"/>
  <c r="AA2071" i="40"/>
  <c r="AA1875" i="40"/>
  <c r="AA2141" i="40"/>
  <c r="AA1889" i="40"/>
  <c r="AA1973" i="40"/>
  <c r="AA1959" i="40"/>
  <c r="AA1987" i="40"/>
  <c r="AA2127" i="40"/>
  <c r="AA2057" i="40"/>
  <c r="AA2099" i="40"/>
  <c r="AA1917" i="40"/>
  <c r="AA2113" i="40"/>
  <c r="AA1931" i="40"/>
  <c r="AA1903" i="40"/>
  <c r="AA1945" i="40"/>
  <c r="AA2029" i="40"/>
  <c r="AA2015" i="40"/>
  <c r="AB18" i="40"/>
  <c r="AC8" i="40"/>
  <c r="AB9" i="40"/>
  <c r="AB10" i="40" s="1"/>
  <c r="AB19" i="40"/>
  <c r="Z13" i="40"/>
  <c r="Z14" i="40" s="1"/>
  <c r="AA1902" i="40"/>
  <c r="Z1923" i="40"/>
  <c r="AA1916" i="40" s="1"/>
  <c r="Z1867" i="40"/>
  <c r="AA1860" i="40" s="1"/>
  <c r="Z1993" i="40"/>
  <c r="AA1986" i="40" s="1"/>
  <c r="Z2063" i="40"/>
  <c r="AA2056" i="40" s="1"/>
  <c r="Z2021" i="40"/>
  <c r="AA2014" i="40" s="1"/>
  <c r="Z2119" i="40"/>
  <c r="AA2112" i="40" s="1"/>
  <c r="Z2133" i="40"/>
  <c r="AA2016" i="40"/>
  <c r="AA2058" i="40"/>
  <c r="AA2100" i="40"/>
  <c r="AA1876" i="40"/>
  <c r="AA1862" i="40"/>
  <c r="AA2128" i="40"/>
  <c r="AA1946" i="40"/>
  <c r="AA1918" i="40"/>
  <c r="AA1960" i="40"/>
  <c r="AA2044" i="40"/>
  <c r="AA2030" i="40"/>
  <c r="AA2072" i="40"/>
  <c r="AA2114" i="40"/>
  <c r="AA1890" i="40"/>
  <c r="AA1932" i="40"/>
  <c r="AA2086" i="40"/>
  <c r="AA1904" i="40"/>
  <c r="AA1988" i="40"/>
  <c r="AA2142" i="40"/>
  <c r="AA2002" i="40"/>
  <c r="AA1974" i="40"/>
  <c r="AA12" i="40"/>
  <c r="AA13" i="40" s="1"/>
  <c r="AA14" i="40" s="1"/>
  <c r="Z2049" i="40"/>
  <c r="AA2042" i="40" s="1"/>
  <c r="Z1881" i="40"/>
  <c r="AA1874" i="40" s="1"/>
  <c r="AE1831" i="40"/>
  <c r="AF7" i="40"/>
  <c r="AF1824" i="40" s="1"/>
  <c r="AB11" i="40" l="1"/>
  <c r="AB2049" i="40" s="1"/>
  <c r="AB12" i="40"/>
  <c r="AB13" i="40" s="1"/>
  <c r="AB14" i="40" s="1"/>
  <c r="AA2140" i="40"/>
  <c r="AA2126" i="40"/>
  <c r="AB2065" i="40"/>
  <c r="AB2107" i="40"/>
  <c r="AB1883" i="40"/>
  <c r="AB1925" i="40"/>
  <c r="AB1911" i="40"/>
  <c r="AB2023" i="40"/>
  <c r="AB1953" i="40"/>
  <c r="AB2037" i="40"/>
  <c r="AB2079" i="40"/>
  <c r="AB2051" i="40"/>
  <c r="AB1869" i="40"/>
  <c r="AB2121" i="40"/>
  <c r="AB1897" i="40"/>
  <c r="AB1939" i="40"/>
  <c r="AB1981" i="40"/>
  <c r="AB2135" i="40"/>
  <c r="AB1855" i="40"/>
  <c r="AB1995" i="40"/>
  <c r="AB1967" i="40"/>
  <c r="AB2009" i="40"/>
  <c r="AB2093" i="40"/>
  <c r="AB2149" i="40"/>
  <c r="AC9" i="40"/>
  <c r="AC19" i="40"/>
  <c r="AC18" i="40"/>
  <c r="AD8" i="40"/>
  <c r="AB1938" i="40"/>
  <c r="AB1980" i="40"/>
  <c r="AB2134" i="40"/>
  <c r="AB1910" i="40"/>
  <c r="AB2064" i="40"/>
  <c r="AB2120" i="40"/>
  <c r="AB2078" i="40"/>
  <c r="AB2008" i="40"/>
  <c r="AB1994" i="40"/>
  <c r="AB2036" i="40"/>
  <c r="AB2148" i="40"/>
  <c r="AB1966" i="40"/>
  <c r="AB1896" i="40"/>
  <c r="AB2050" i="40"/>
  <c r="AB2092" i="40"/>
  <c r="AB1868" i="40"/>
  <c r="AB2022" i="40"/>
  <c r="AB1952" i="40"/>
  <c r="AB2106" i="40"/>
  <c r="AB1882" i="40"/>
  <c r="AB1924" i="40"/>
  <c r="AB1854" i="40"/>
  <c r="AB1895" i="40"/>
  <c r="AB2091" i="40"/>
  <c r="AB2077" i="40"/>
  <c r="AB2021" i="40"/>
  <c r="AB2007" i="40"/>
  <c r="AB1909" i="40"/>
  <c r="AB1993" i="40"/>
  <c r="AB2035" i="40"/>
  <c r="AB1965" i="40"/>
  <c r="AB2105" i="40"/>
  <c r="AB1853" i="40"/>
  <c r="AB1951" i="40" l="1"/>
  <c r="AB1923" i="40"/>
  <c r="AB1937" i="40"/>
  <c r="AB1881" i="40"/>
  <c r="AB2063" i="40"/>
  <c r="AB1867" i="40"/>
  <c r="AB2119" i="40"/>
  <c r="AB1979" i="40"/>
  <c r="AC2141" i="40"/>
  <c r="AC1917" i="40"/>
  <c r="AC2015" i="40"/>
  <c r="AC2113" i="40"/>
  <c r="AC1889" i="40"/>
  <c r="AC1987" i="40"/>
  <c r="AC2127" i="40"/>
  <c r="AC2001" i="40"/>
  <c r="AC2085" i="40"/>
  <c r="AC1959" i="40"/>
  <c r="AC2099" i="40"/>
  <c r="AC2155" i="40"/>
  <c r="AC1973" i="40"/>
  <c r="AC2071" i="40"/>
  <c r="AC1847" i="40"/>
  <c r="AC1945" i="40"/>
  <c r="AC2043" i="40"/>
  <c r="AC2029" i="40"/>
  <c r="AC1903" i="40"/>
  <c r="AC1875" i="40"/>
  <c r="AC1861" i="40"/>
  <c r="AC2057" i="40"/>
  <c r="AC1931" i="40"/>
  <c r="AD9" i="40"/>
  <c r="AD11" i="40" s="1"/>
  <c r="AD18" i="40"/>
  <c r="AD19" i="40"/>
  <c r="AE8" i="40"/>
  <c r="AC1988" i="40"/>
  <c r="AC2142" i="40"/>
  <c r="AC1918" i="40"/>
  <c r="AC2016" i="40"/>
  <c r="AC1946" i="40"/>
  <c r="AC2002" i="40"/>
  <c r="AC1876" i="40"/>
  <c r="AC2128" i="40"/>
  <c r="AC1890" i="40"/>
  <c r="AC2086" i="40"/>
  <c r="AC1960" i="40"/>
  <c r="AC2044" i="40"/>
  <c r="AC2156" i="40"/>
  <c r="AC1974" i="40"/>
  <c r="AC2072" i="40"/>
  <c r="AC1848" i="40"/>
  <c r="AC2058" i="40"/>
  <c r="AC2100" i="40"/>
  <c r="AC2030" i="40"/>
  <c r="AC1904" i="40"/>
  <c r="AC1932" i="40"/>
  <c r="AC1862" i="40"/>
  <c r="AC2114" i="40"/>
  <c r="AC11" i="40"/>
  <c r="AC2070" i="40" s="1"/>
  <c r="AC10" i="40"/>
  <c r="AC12" i="40"/>
  <c r="AB2133" i="40"/>
  <c r="AB2147" i="40"/>
  <c r="AD2063" i="40" l="1"/>
  <c r="AD10" i="40"/>
  <c r="AC1902" i="40"/>
  <c r="AD1895" i="40" s="1"/>
  <c r="AC1958" i="40"/>
  <c r="AD1951" i="40" s="1"/>
  <c r="AC2126" i="40"/>
  <c r="AD2119" i="40" s="1"/>
  <c r="AC2042" i="40"/>
  <c r="AD2035" i="40" s="1"/>
  <c r="AC1930" i="40"/>
  <c r="AD1923" i="40" s="1"/>
  <c r="AC1916" i="40"/>
  <c r="AD1909" i="40" s="1"/>
  <c r="AC2056" i="40"/>
  <c r="AD2049" i="40" s="1"/>
  <c r="AC1972" i="40"/>
  <c r="AD1965" i="40" s="1"/>
  <c r="AC1860" i="40"/>
  <c r="AD1853" i="40" s="1"/>
  <c r="AC1874" i="40"/>
  <c r="AD1867" i="40" s="1"/>
  <c r="AC1944" i="40"/>
  <c r="AD1937" i="40" s="1"/>
  <c r="AD1994" i="40"/>
  <c r="AD2148" i="40"/>
  <c r="AD1924" i="40"/>
  <c r="AD2022" i="40"/>
  <c r="AD2064" i="40"/>
  <c r="AD1896" i="40"/>
  <c r="AD1882" i="40"/>
  <c r="AD2134" i="40"/>
  <c r="AD2008" i="40"/>
  <c r="AD1938" i="40"/>
  <c r="AD1868" i="40"/>
  <c r="AD1840" i="40"/>
  <c r="AD2050" i="40"/>
  <c r="AD2162" i="40"/>
  <c r="AD1980" i="40"/>
  <c r="AD2078" i="40"/>
  <c r="AD1854" i="40"/>
  <c r="AD1952" i="40"/>
  <c r="AD2106" i="40"/>
  <c r="AD2036" i="40"/>
  <c r="AD1910" i="40"/>
  <c r="AD2092" i="40"/>
  <c r="AD1966" i="40"/>
  <c r="AD2120" i="40"/>
  <c r="AC1846" i="40"/>
  <c r="AD1839" i="40" s="1"/>
  <c r="AC2014" i="40"/>
  <c r="AD2007" i="40" s="1"/>
  <c r="AC13" i="40"/>
  <c r="AC14" i="40" s="1"/>
  <c r="AC2000" i="40"/>
  <c r="AD1993" i="40" s="1"/>
  <c r="AD12" i="40"/>
  <c r="AD13" i="40" s="1"/>
  <c r="AD14" i="40" s="1"/>
  <c r="AE19" i="40"/>
  <c r="AE9" i="40"/>
  <c r="AE10" i="40" s="1"/>
  <c r="AE18" i="40"/>
  <c r="AF8" i="40"/>
  <c r="AD2065" i="40"/>
  <c r="AD1841" i="40"/>
  <c r="AD1939" i="40"/>
  <c r="AD2093" i="40"/>
  <c r="AD1869" i="40"/>
  <c r="AD1855" i="40"/>
  <c r="AD2051" i="40"/>
  <c r="AD1981" i="40"/>
  <c r="AD1967" i="40"/>
  <c r="AD2107" i="40"/>
  <c r="AD2037" i="40"/>
  <c r="AD2023" i="40"/>
  <c r="AD2121" i="40"/>
  <c r="AD1897" i="40"/>
  <c r="AD1995" i="40"/>
  <c r="AD2149" i="40"/>
  <c r="AD1925" i="40"/>
  <c r="AD2079" i="40"/>
  <c r="AD1953" i="40"/>
  <c r="AD2163" i="40"/>
  <c r="AD1911" i="40"/>
  <c r="AD2009" i="40"/>
  <c r="AD1883" i="40"/>
  <c r="AD2135" i="40"/>
  <c r="AC1888" i="40"/>
  <c r="AD1881" i="40" s="1"/>
  <c r="AC2140" i="40"/>
  <c r="AD2133" i="40" s="1"/>
  <c r="AC2084" i="40"/>
  <c r="AD2077" i="40" s="1"/>
  <c r="AC2028" i="40"/>
  <c r="AD2021" i="40" s="1"/>
  <c r="AC1986" i="40"/>
  <c r="AD1979" i="40" s="1"/>
  <c r="AC2112" i="40"/>
  <c r="AD2105" i="40" s="1"/>
  <c r="AC2154" i="40"/>
  <c r="AC2098" i="40"/>
  <c r="AD2091" i="40" s="1"/>
  <c r="AE11" i="40" l="1"/>
  <c r="AE2084" i="40" s="1"/>
  <c r="AE1874" i="40"/>
  <c r="AE1860" i="40"/>
  <c r="AE1902" i="40"/>
  <c r="AE1945" i="40"/>
  <c r="AE2155" i="40"/>
  <c r="AE1931" i="40"/>
  <c r="AE2029" i="40"/>
  <c r="AE2015" i="40"/>
  <c r="AE1847" i="40"/>
  <c r="AE1833" i="40"/>
  <c r="AE2141" i="40"/>
  <c r="AE2127" i="40"/>
  <c r="AE2113" i="40"/>
  <c r="AE2099" i="40"/>
  <c r="AE1973" i="40"/>
  <c r="AE2071" i="40"/>
  <c r="AE2001" i="40"/>
  <c r="AE2169" i="40"/>
  <c r="AE1987" i="40"/>
  <c r="AE2085" i="40"/>
  <c r="AE1861" i="40"/>
  <c r="AE1903" i="40"/>
  <c r="AE2057" i="40"/>
  <c r="AE2043" i="40"/>
  <c r="AE1917" i="40"/>
  <c r="AE1889" i="40"/>
  <c r="AE1875" i="40"/>
  <c r="AE1959" i="40"/>
  <c r="AE12" i="40"/>
  <c r="AE1846" i="40"/>
  <c r="AE1986" i="40"/>
  <c r="AE1916" i="40"/>
  <c r="AE2098" i="40"/>
  <c r="AE1958" i="40"/>
  <c r="AE2016" i="40"/>
  <c r="AE2114" i="40"/>
  <c r="AE1890" i="40"/>
  <c r="AE2100" i="40"/>
  <c r="AE1876" i="40"/>
  <c r="AE1974" i="40"/>
  <c r="AE2128" i="40"/>
  <c r="AE1904" i="40"/>
  <c r="AE2170" i="40"/>
  <c r="AE1988" i="40"/>
  <c r="AE1918" i="40"/>
  <c r="AE2044" i="40"/>
  <c r="AE2072" i="40"/>
  <c r="AE1848" i="40"/>
  <c r="AE1946" i="40"/>
  <c r="AE2156" i="40"/>
  <c r="AE1932" i="40"/>
  <c r="AE2030" i="40"/>
  <c r="AE2002" i="40"/>
  <c r="AE1862" i="40"/>
  <c r="AE1960" i="40"/>
  <c r="AE2058" i="40"/>
  <c r="AE1834" i="40"/>
  <c r="AE2086" i="40"/>
  <c r="AE2142" i="40"/>
  <c r="AD2161" i="40"/>
  <c r="AE2154" i="40" s="1"/>
  <c r="AD2147" i="40"/>
  <c r="AE2140" i="40" s="1"/>
  <c r="AF18" i="40"/>
  <c r="AF9" i="40"/>
  <c r="AF19" i="40"/>
  <c r="AE2126" i="40"/>
  <c r="AE1930" i="40"/>
  <c r="AE1972" i="40"/>
  <c r="AE1888" i="40"/>
  <c r="AE2042" i="40"/>
  <c r="AE1832" i="40"/>
  <c r="AE2000" i="40"/>
  <c r="AE2056" i="40"/>
  <c r="AE2014" i="40"/>
  <c r="AE2112" i="40"/>
  <c r="AE2070" i="40"/>
  <c r="AE1944" i="40"/>
  <c r="AE2028" i="40" l="1"/>
  <c r="AF11" i="40"/>
  <c r="AF2063" i="40" s="1"/>
  <c r="AF12" i="40"/>
  <c r="AF10" i="40"/>
  <c r="AF2162" i="40"/>
  <c r="AF2106" i="40"/>
  <c r="AF2050" i="40"/>
  <c r="AF1994" i="40"/>
  <c r="AF1938" i="40"/>
  <c r="AF1882" i="40"/>
  <c r="AF2176" i="40"/>
  <c r="AF2134" i="40"/>
  <c r="AF2078" i="40"/>
  <c r="AF2022" i="40"/>
  <c r="AF1966" i="40"/>
  <c r="AF1910" i="40"/>
  <c r="AF1840" i="40"/>
  <c r="AF2148" i="40"/>
  <c r="AF2092" i="40"/>
  <c r="AF2036" i="40"/>
  <c r="AF1980" i="40"/>
  <c r="AF1924" i="40"/>
  <c r="AF1868" i="40"/>
  <c r="AF1854" i="40"/>
  <c r="AF2120" i="40"/>
  <c r="AF2064" i="40"/>
  <c r="AF2008" i="40"/>
  <c r="AF1952" i="40"/>
  <c r="AF1896" i="40"/>
  <c r="AF1826" i="40"/>
  <c r="AF1923" i="40"/>
  <c r="AF2163" i="40"/>
  <c r="AF2107" i="40"/>
  <c r="AF2051" i="40"/>
  <c r="AF1995" i="40"/>
  <c r="AF1939" i="40"/>
  <c r="AF1883" i="40"/>
  <c r="AF1827" i="40"/>
  <c r="AF2135" i="40"/>
  <c r="AF2079" i="40"/>
  <c r="AF1967" i="40"/>
  <c r="AF1911" i="40"/>
  <c r="AF1855" i="40"/>
  <c r="AF2149" i="40"/>
  <c r="AF2093" i="40"/>
  <c r="AF2037" i="40"/>
  <c r="AF1981" i="40"/>
  <c r="AF1925" i="40"/>
  <c r="AF1869" i="40"/>
  <c r="AF2177" i="40"/>
  <c r="AF2121" i="40"/>
  <c r="AF2065" i="40"/>
  <c r="AF2009" i="40"/>
  <c r="AF1953" i="40"/>
  <c r="AF1897" i="40"/>
  <c r="AF1841" i="40"/>
  <c r="AF2023" i="40"/>
  <c r="AE2168" i="40"/>
  <c r="AE13" i="40"/>
  <c r="AE14" i="40" s="1"/>
  <c r="AF1937" i="40"/>
  <c r="AF1965" i="40"/>
  <c r="AF2119" i="40"/>
  <c r="AF1839" i="40" l="1"/>
  <c r="AF2035" i="40"/>
  <c r="AF1909" i="40"/>
  <c r="AF1993" i="40"/>
  <c r="AF1999" i="40" s="1"/>
  <c r="AF1845" i="40"/>
  <c r="AF2069" i="40"/>
  <c r="AF1929" i="40"/>
  <c r="AF2153" i="40"/>
  <c r="AF1943" i="40"/>
  <c r="AF1825" i="40"/>
  <c r="AF2147" i="40"/>
  <c r="AF1971" i="40"/>
  <c r="AF2133" i="40"/>
  <c r="AF2139" i="40" s="1"/>
  <c r="AF1979" i="40"/>
  <c r="AF1985" i="40" s="1"/>
  <c r="AF2049" i="40"/>
  <c r="AF2055" i="40" s="1"/>
  <c r="AF2161" i="40"/>
  <c r="AF2167" i="40" s="1"/>
  <c r="AF2041" i="40"/>
  <c r="AF1915" i="40"/>
  <c r="AF1831" i="40"/>
  <c r="AF1951" i="40"/>
  <c r="AF1957" i="40" s="1"/>
  <c r="AF2175" i="40"/>
  <c r="AF2181" i="40" s="1"/>
  <c r="AF1853" i="40"/>
  <c r="AF1859" i="40" s="1"/>
  <c r="AF1867" i="40"/>
  <c r="AF1873" i="40" s="1"/>
  <c r="AF1895" i="40"/>
  <c r="AF2077" i="40"/>
  <c r="AF2083" i="40" s="1"/>
  <c r="AF2091" i="40"/>
  <c r="AF2097" i="40" s="1"/>
  <c r="AF2007" i="40"/>
  <c r="AF2013" i="40" s="1"/>
  <c r="AF1881" i="40"/>
  <c r="AF1887" i="40" s="1"/>
  <c r="AF1901" i="40"/>
  <c r="AF2125" i="40"/>
  <c r="AF2021" i="40"/>
  <c r="AF2027" i="40" s="1"/>
  <c r="AF2105" i="40"/>
  <c r="AF2111" i="40" s="1"/>
  <c r="AF13" i="40"/>
  <c r="AF14" i="40" l="1"/>
  <c r="AE1866" i="40" s="1"/>
  <c r="AE2048" i="40" l="1"/>
  <c r="AE2006" i="40"/>
  <c r="AE2160" i="40"/>
  <c r="AE2146" i="40"/>
  <c r="AE2076" i="40"/>
  <c r="AE2034" i="40"/>
  <c r="AD2041" i="40" s="1"/>
  <c r="AE2090" i="40"/>
  <c r="AD2097" i="40" s="1"/>
  <c r="AE2118" i="40"/>
  <c r="AE2174" i="40"/>
  <c r="AE2104" i="40"/>
  <c r="AE1964" i="40"/>
  <c r="AE1880" i="40"/>
  <c r="AE1950" i="40"/>
  <c r="AD1957" i="40" s="1"/>
  <c r="AE1908" i="40"/>
  <c r="AE2132" i="40"/>
  <c r="AD2139" i="40" s="1"/>
  <c r="AE2062" i="40"/>
  <c r="AD2153" i="40"/>
  <c r="AE1922" i="40"/>
  <c r="AE1936" i="40"/>
  <c r="AE1894" i="40"/>
  <c r="AD1901" i="40" s="1"/>
  <c r="AD2055" i="40"/>
  <c r="AE1992" i="40"/>
  <c r="AD1999" i="40" s="1"/>
  <c r="AE1838" i="40"/>
  <c r="AE1852" i="40"/>
  <c r="AD1859" i="40" s="1"/>
  <c r="AE1978" i="40"/>
  <c r="AD1985" i="40" s="1"/>
  <c r="AC1992" i="40" s="1"/>
  <c r="AE2020" i="40"/>
  <c r="AD2027" i="40" l="1"/>
  <c r="AC2034" i="40" s="1"/>
  <c r="AD2083" i="40"/>
  <c r="AC2090" i="40" s="1"/>
  <c r="AD1929" i="40"/>
  <c r="AD2111" i="40"/>
  <c r="AC2104" i="40" s="1"/>
  <c r="AD1845" i="40"/>
  <c r="AC1852" i="40" s="1"/>
  <c r="AD2069" i="40"/>
  <c r="AC2076" i="40" s="1"/>
  <c r="AB2083" i="40" s="1"/>
  <c r="AD2167" i="40"/>
  <c r="AC2160" i="40" s="1"/>
  <c r="AD2125" i="40"/>
  <c r="AD1887" i="40"/>
  <c r="AC1894" i="40" s="1"/>
  <c r="AD1873" i="40"/>
  <c r="AD1943" i="40"/>
  <c r="AC1950" i="40" s="1"/>
  <c r="AD1915" i="40"/>
  <c r="AC1922" i="40" s="1"/>
  <c r="AC2048" i="40"/>
  <c r="AD2013" i="40"/>
  <c r="AC2146" i="40"/>
  <c r="AD1971" i="40"/>
  <c r="AC1978" i="40" s="1"/>
  <c r="AB1985" i="40" s="1"/>
  <c r="AB2097" i="40" l="1"/>
  <c r="AA2090" i="40" s="1"/>
  <c r="AC2062" i="40"/>
  <c r="AB2069" i="40" s="1"/>
  <c r="AC2020" i="40"/>
  <c r="AB2027" i="40" s="1"/>
  <c r="AB2153" i="40"/>
  <c r="AC2132" i="40"/>
  <c r="AC2118" i="40"/>
  <c r="AC2006" i="40"/>
  <c r="AC1908" i="40"/>
  <c r="AB1915" i="40" s="1"/>
  <c r="AB2041" i="40"/>
  <c r="AC1964" i="40"/>
  <c r="AB1971" i="40" s="1"/>
  <c r="AA1978" i="40" s="1"/>
  <c r="AC1936" i="40"/>
  <c r="AB1943" i="40" s="1"/>
  <c r="AA2076" i="40"/>
  <c r="AB2139" i="40"/>
  <c r="AA2146" i="40" s="1"/>
  <c r="AB1901" i="40"/>
  <c r="AA1908" i="40" s="1"/>
  <c r="AC1880" i="40"/>
  <c r="AB1887" i="40" s="1"/>
  <c r="AA1894" i="40" s="1"/>
  <c r="Z1901" i="40" s="1"/>
  <c r="AC1866" i="40"/>
  <c r="AB1929" i="40"/>
  <c r="AA1936" i="40" s="1"/>
  <c r="AB1999" i="40"/>
  <c r="AA2034" i="40" l="1"/>
  <c r="AB2055" i="40"/>
  <c r="Z2083" i="40"/>
  <c r="AB1957" i="40"/>
  <c r="AA1964" i="40" s="1"/>
  <c r="Z1971" i="40" s="1"/>
  <c r="AB2013" i="40"/>
  <c r="AA2020" i="40" s="1"/>
  <c r="Z2027" i="40" s="1"/>
  <c r="AB2125" i="40"/>
  <c r="AA2132" i="40" s="1"/>
  <c r="Z2139" i="40" s="1"/>
  <c r="AB2111" i="40"/>
  <c r="AB1873" i="40"/>
  <c r="AA1880" i="40" s="1"/>
  <c r="Z1887" i="40" s="1"/>
  <c r="Y1894" i="40" s="1"/>
  <c r="AB1859" i="40"/>
  <c r="AA1922" i="40"/>
  <c r="Z1929" i="40" s="1"/>
  <c r="AA1992" i="40"/>
  <c r="AA1950" i="40" l="1"/>
  <c r="Z1957" i="40" s="1"/>
  <c r="Y1964" i="40" s="1"/>
  <c r="AA2062" i="40"/>
  <c r="Z2069" i="40" s="1"/>
  <c r="Y2076" i="40" s="1"/>
  <c r="AA2048" i="40"/>
  <c r="Z2055" i="40" s="1"/>
  <c r="Y2062" i="40" s="1"/>
  <c r="Z2041" i="40"/>
  <c r="AA2006" i="40"/>
  <c r="Z2013" i="40" s="1"/>
  <c r="Y2020" i="40" s="1"/>
  <c r="AA2104" i="40"/>
  <c r="AA2118" i="40"/>
  <c r="Z2125" i="40" s="1"/>
  <c r="Y2132" i="40" s="1"/>
  <c r="Z1985" i="40"/>
  <c r="Z1943" i="40"/>
  <c r="Y1950" i="40" s="1"/>
  <c r="X1957" i="40" s="1"/>
  <c r="Z1915" i="40"/>
  <c r="AA1866" i="40"/>
  <c r="Z1873" i="40" s="1"/>
  <c r="Y1880" i="40" s="1"/>
  <c r="X1887" i="40" s="1"/>
  <c r="Y1978" i="40"/>
  <c r="Y2048" i="40" l="1"/>
  <c r="Y2034" i="40"/>
  <c r="Z1999" i="40"/>
  <c r="Y2006" i="40" s="1"/>
  <c r="X2013" i="40" s="1"/>
  <c r="Z2097" i="40"/>
  <c r="Z2111" i="40"/>
  <c r="Y2118" i="40" s="1"/>
  <c r="X2125" i="40" s="1"/>
  <c r="Y1922" i="40"/>
  <c r="Y1908" i="40"/>
  <c r="X2069" i="40"/>
  <c r="X2055" i="40"/>
  <c r="Y1936" i="40"/>
  <c r="X1943" i="40" s="1"/>
  <c r="W1950" i="40" s="1"/>
  <c r="X1971" i="40"/>
  <c r="Y1992" i="40" l="1"/>
  <c r="X2041" i="40"/>
  <c r="W2048" i="40" s="1"/>
  <c r="X2027" i="40"/>
  <c r="Y2104" i="40"/>
  <c r="X2111" i="40" s="1"/>
  <c r="W2118" i="40" s="1"/>
  <c r="Y2090" i="40"/>
  <c r="X1929" i="40"/>
  <c r="W1936" i="40" s="1"/>
  <c r="V1943" i="40" s="1"/>
  <c r="W2062" i="40"/>
  <c r="X1915" i="40"/>
  <c r="X1901" i="40"/>
  <c r="W1964" i="40"/>
  <c r="W2034" i="40" l="1"/>
  <c r="W2020" i="40"/>
  <c r="V2027" i="40" s="1"/>
  <c r="W1922" i="40"/>
  <c r="V1929" i="40" s="1"/>
  <c r="U1936" i="40" s="1"/>
  <c r="X1999" i="40"/>
  <c r="W2006" i="40" s="1"/>
  <c r="V2013" i="40" s="1"/>
  <c r="U2020" i="40" s="1"/>
  <c r="X1985" i="40"/>
  <c r="X2097" i="40"/>
  <c r="W2104" i="40" s="1"/>
  <c r="V2111" i="40" s="1"/>
  <c r="X2083" i="40"/>
  <c r="V1957" i="40"/>
  <c r="W1908" i="40"/>
  <c r="W1894" i="40"/>
  <c r="V1901" i="40" s="1"/>
  <c r="V2055" i="40"/>
  <c r="V2041" i="40"/>
  <c r="W1992" i="40" l="1"/>
  <c r="V1999" i="40" s="1"/>
  <c r="U2006" i="40" s="1"/>
  <c r="T2013" i="40" s="1"/>
  <c r="W1978" i="40"/>
  <c r="V1915" i="40"/>
  <c r="U1922" i="40" s="1"/>
  <c r="T1929" i="40" s="1"/>
  <c r="W2076" i="40"/>
  <c r="W2090" i="40"/>
  <c r="V2097" i="40" s="1"/>
  <c r="U2104" i="40" s="1"/>
  <c r="U2048" i="40"/>
  <c r="U2034" i="40"/>
  <c r="U1950" i="40"/>
  <c r="U1908" i="40" l="1"/>
  <c r="T1915" i="40" s="1"/>
  <c r="S1922" i="40" s="1"/>
  <c r="V1985" i="40"/>
  <c r="U1992" i="40" s="1"/>
  <c r="T1999" i="40" s="1"/>
  <c r="S2006" i="40" s="1"/>
  <c r="V1971" i="40"/>
  <c r="V2069" i="40"/>
  <c r="V2083" i="40"/>
  <c r="U2090" i="40" s="1"/>
  <c r="T2097" i="40" s="1"/>
  <c r="T1943" i="40"/>
  <c r="T2041" i="40"/>
  <c r="T2027" i="40"/>
  <c r="U1978" i="40" l="1"/>
  <c r="T1985" i="40" s="1"/>
  <c r="S1992" i="40" s="1"/>
  <c r="R1999" i="40" s="1"/>
  <c r="U1964" i="40"/>
  <c r="U2062" i="40"/>
  <c r="U2076" i="40"/>
  <c r="T2083" i="40" s="1"/>
  <c r="S2090" i="40" s="1"/>
  <c r="S1936" i="40"/>
  <c r="S2034" i="40"/>
  <c r="S2020" i="40"/>
  <c r="T1971" i="40" l="1"/>
  <c r="S1978" i="40" s="1"/>
  <c r="R1985" i="40" s="1"/>
  <c r="Q1992" i="40" s="1"/>
  <c r="T1957" i="40"/>
  <c r="T2055" i="40"/>
  <c r="T2069" i="40"/>
  <c r="S2076" i="40" s="1"/>
  <c r="R2083" i="40" s="1"/>
  <c r="R1929" i="40"/>
  <c r="R2027" i="40"/>
  <c r="R2013" i="40"/>
  <c r="S1964" i="40" l="1"/>
  <c r="R1971" i="40" s="1"/>
  <c r="Q1978" i="40" s="1"/>
  <c r="P1985" i="40" s="1"/>
  <c r="S1950" i="40"/>
  <c r="S2048" i="40"/>
  <c r="S2062" i="40"/>
  <c r="R2069" i="40" s="1"/>
  <c r="Q2076" i="40" s="1"/>
  <c r="Q2020" i="40"/>
  <c r="Q2006" i="40"/>
  <c r="R1957" i="40" l="1"/>
  <c r="Q1964" i="40" s="1"/>
  <c r="P1971" i="40" s="1"/>
  <c r="O1978" i="40" s="1"/>
  <c r="R1943" i="40"/>
  <c r="R2041" i="40"/>
  <c r="R2055" i="40"/>
  <c r="Q2062" i="40" s="1"/>
  <c r="P2069" i="40" s="1"/>
  <c r="P2013" i="40"/>
  <c r="P1999" i="40"/>
  <c r="Q1950" i="40" l="1"/>
  <c r="P1957" i="40" s="1"/>
  <c r="O1964" i="40" s="1"/>
  <c r="N1971" i="40" s="1"/>
  <c r="Q1936" i="40"/>
  <c r="P1943" i="40" s="1"/>
  <c r="O1950" i="40" s="1"/>
  <c r="Q2048" i="40"/>
  <c r="P2055" i="40" s="1"/>
  <c r="O2062" i="40" s="1"/>
  <c r="Q2034" i="40"/>
  <c r="O2006" i="40"/>
  <c r="O1992" i="40"/>
  <c r="N1957" i="40"/>
  <c r="M1964" i="40" s="1"/>
  <c r="P2027" i="40" l="1"/>
  <c r="P2041" i="40"/>
  <c r="O2048" i="40" s="1"/>
  <c r="N2055" i="40" s="1"/>
  <c r="N1999" i="40"/>
  <c r="N1985" i="40"/>
  <c r="O2034" i="40" l="1"/>
  <c r="N2041" i="40" s="1"/>
  <c r="M2048" i="40" s="1"/>
  <c r="O2020" i="40"/>
  <c r="M1992" i="40"/>
  <c r="M1978" i="40"/>
  <c r="N2013" i="40" l="1"/>
  <c r="N2027" i="40"/>
  <c r="M2034" i="40" s="1"/>
  <c r="L2041" i="40" s="1"/>
  <c r="L1985" i="40"/>
  <c r="L1971" i="40"/>
  <c r="K1978" i="40" s="1"/>
  <c r="M2020" i="40" l="1"/>
  <c r="L2027" i="40" s="1"/>
  <c r="K2034" i="40" s="1"/>
  <c r="M2006" i="40"/>
  <c r="L1999" i="40" l="1"/>
  <c r="L2013" i="40"/>
  <c r="K2020" i="40" s="1"/>
  <c r="J2027" i="40" s="1"/>
  <c r="K1992" i="40" l="1"/>
  <c r="K2006" i="40"/>
  <c r="J2013" i="40" s="1"/>
  <c r="I2020" i="40" s="1"/>
  <c r="J1985" i="40" l="1"/>
  <c r="J1999" i="40"/>
  <c r="I2006" i="40" s="1"/>
  <c r="H2013" i="40" s="1"/>
  <c r="I1992" i="40" l="1"/>
  <c r="H1999" i="40" s="1"/>
  <c r="G2006" i="40" s="1"/>
  <c r="B26" i="40" s="1"/>
  <c r="B28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plau</author>
  </authors>
  <commentList>
    <comment ref="H1" authorId="0" shapeId="0" xr:uid="{00000000-0006-0000-0000-000001000000}">
      <text>
        <r>
          <rPr>
            <sz val="8"/>
            <color indexed="81"/>
            <rFont val="Arial"/>
            <family val="2"/>
          </rPr>
          <t>Do not edit cells G7 - H12.</t>
        </r>
      </text>
    </comment>
    <comment ref="F8" authorId="0" shapeId="0" xr:uid="{00000000-0006-0000-0000-000003000000}">
      <text>
        <r>
          <rPr>
            <sz val="8"/>
            <color rgb="FF000000"/>
            <rFont val="Arial"/>
            <family val="2"/>
          </rPr>
          <t>- The time intervals between each node can be different to accommodate for particular needs.</t>
        </r>
      </text>
    </comment>
    <comment ref="F18" authorId="0" shapeId="0" xr:uid="{00000000-0006-0000-0000-000004000000}">
      <text>
        <r>
          <rPr>
            <sz val="8"/>
            <color rgb="FF000000"/>
            <rFont val="Arial Unicode MS"/>
            <family val="2"/>
          </rPr>
          <t xml:space="preserve">- Can be the same as the Initial Exercise Price in the LHS or just key in manually.
</t>
        </r>
        <r>
          <rPr>
            <sz val="8"/>
            <color rgb="FF000000"/>
            <rFont val="Arial Unicode MS"/>
            <family val="2"/>
          </rPr>
          <t>- Revise the "Max Possible Option Value" in roll 22 when necessary.</t>
        </r>
      </text>
    </comment>
    <comment ref="F19" authorId="0" shapeId="0" xr:uid="{00000000-0006-0000-0000-000005000000}">
      <text>
        <r>
          <rPr>
            <sz val="8"/>
            <color indexed="81"/>
            <rFont val="Arial"/>
            <family val="2"/>
          </rPr>
          <t xml:space="preserve">- Can be determined by using the Exercise Factor in the LHS or just key in manually.
</t>
        </r>
      </text>
    </comment>
  </commentList>
</comments>
</file>

<file path=xl/sharedStrings.xml><?xml version="1.0" encoding="utf-8"?>
<sst xmlns="http://schemas.openxmlformats.org/spreadsheetml/2006/main" count="47" uniqueCount="44">
  <si>
    <t>Valuation Date</t>
    <phoneticPr fontId="2" type="noConversion"/>
  </si>
  <si>
    <t>Volatility</t>
    <phoneticPr fontId="2" type="noConversion"/>
  </si>
  <si>
    <t>Maturity Date</t>
    <phoneticPr fontId="2" type="noConversion"/>
  </si>
  <si>
    <t>No. of Steps</t>
    <phoneticPr fontId="2" type="noConversion"/>
  </si>
  <si>
    <t>Risk Free Rate</t>
    <phoneticPr fontId="2" type="noConversion"/>
  </si>
  <si>
    <t>Dividend Yield</t>
    <phoneticPr fontId="2" type="noConversion"/>
  </si>
  <si>
    <t>Spot Price per Share</t>
    <phoneticPr fontId="2" type="noConversion"/>
  </si>
  <si>
    <t>1st Convertible Date</t>
    <phoneticPr fontId="2" type="noConversion"/>
  </si>
  <si>
    <t>Date</t>
  </si>
  <si>
    <t>Exercise Price</t>
    <phoneticPr fontId="2" type="noConversion"/>
  </si>
  <si>
    <t>Stock Price</t>
    <phoneticPr fontId="2" type="noConversion"/>
  </si>
  <si>
    <t>Remarks:</t>
    <phoneticPr fontId="2" type="noConversion"/>
  </si>
  <si>
    <t>1. All cells with light yellow background are input cells.</t>
    <phoneticPr fontId="2" type="noConversion"/>
  </si>
  <si>
    <t>2. If it is necessary to revise the equations, just change the equations for column G to H.</t>
    <phoneticPr fontId="2" type="noConversion"/>
  </si>
  <si>
    <t xml:space="preserve">   Click the macro "Binomial" and the rest of the binomial tree will be generated automatically.</t>
    <phoneticPr fontId="2" type="noConversion"/>
  </si>
  <si>
    <t>Early Exercise Price</t>
    <phoneticPr fontId="2" type="noConversion"/>
  </si>
  <si>
    <t>Option Value</t>
    <phoneticPr fontId="2" type="noConversion"/>
  </si>
  <si>
    <t>Exercise Factor</t>
    <phoneticPr fontId="2" type="noConversion"/>
  </si>
  <si>
    <t>Early Exercise Price</t>
  </si>
  <si>
    <t>Max. Possible OptionValue</t>
    <phoneticPr fontId="2" type="noConversion"/>
  </si>
  <si>
    <t>(any number larger than the max. Option Value at the last node)</t>
    <phoneticPr fontId="2" type="noConversion"/>
  </si>
  <si>
    <t>Exercise Factor Effective Date</t>
    <phoneticPr fontId="2" type="noConversion"/>
  </si>
  <si>
    <t>3. Starting row of the binomial tree =</t>
    <phoneticPr fontId="2" type="noConversion"/>
  </si>
  <si>
    <t>4. To go to the starting point of the binomial tree, type</t>
    <phoneticPr fontId="2" type="noConversion"/>
  </si>
  <si>
    <t>No. of Option</t>
    <phoneticPr fontId="2" type="noConversion"/>
  </si>
  <si>
    <t>Total Option Value</t>
    <phoneticPr fontId="2" type="noConversion"/>
  </si>
  <si>
    <t>Option Value per Share</t>
    <phoneticPr fontId="2" type="noConversion"/>
  </si>
  <si>
    <t>No. of Nodes</t>
    <phoneticPr fontId="2" type="noConversion"/>
  </si>
  <si>
    <t>Initial Exercise Price per Share</t>
    <phoneticPr fontId="2" type="noConversion"/>
  </si>
  <si>
    <t>Name of Client</t>
    <phoneticPr fontId="2" type="noConversion"/>
  </si>
  <si>
    <t>:</t>
    <phoneticPr fontId="2" type="noConversion"/>
  </si>
  <si>
    <t>Our Ref</t>
    <phoneticPr fontId="2" type="noConversion"/>
  </si>
  <si>
    <t>Scope of Valuation</t>
    <phoneticPr fontId="2" type="noConversion"/>
  </si>
  <si>
    <t>Share Option Valuation</t>
    <phoneticPr fontId="2" type="noConversion"/>
  </si>
  <si>
    <t>Δt</t>
    <phoneticPr fontId="2" type="noConversion"/>
  </si>
  <si>
    <t>)</t>
    <phoneticPr fontId="2" type="noConversion"/>
  </si>
  <si>
    <t>p = (a - d) / (u - d)</t>
    <phoneticPr fontId="2" type="noConversion"/>
  </si>
  <si>
    <t>1 - p</t>
    <phoneticPr fontId="2" type="noConversion"/>
  </si>
  <si>
    <t>(assuming the holders will exercise</t>
    <phoneticPr fontId="2" type="noConversion"/>
  </si>
  <si>
    <t xml:space="preserve"> at x% of exercise price. Empty to diable)</t>
    <phoneticPr fontId="2" type="noConversion"/>
  </si>
  <si>
    <r>
      <t>a = e</t>
    </r>
    <r>
      <rPr>
        <b/>
        <vertAlign val="superscript"/>
        <sz val="8"/>
        <color rgb="FF0070C0"/>
        <rFont val="Trebuchet MS"/>
        <family val="2"/>
      </rPr>
      <t xml:space="preserve">rΔt </t>
    </r>
    <phoneticPr fontId="2" type="noConversion"/>
  </si>
  <si>
    <r>
      <t>u = e</t>
    </r>
    <r>
      <rPr>
        <b/>
        <vertAlign val="superscript"/>
        <sz val="8"/>
        <color rgb="FF0070C0"/>
        <rFont val="Trebuchet MS"/>
        <family val="2"/>
      </rPr>
      <t>σsqrt(Δt)</t>
    </r>
    <r>
      <rPr>
        <b/>
        <sz val="8"/>
        <color rgb="FF0070C0"/>
        <rFont val="Trebuchet MS"/>
        <family val="2"/>
      </rPr>
      <t xml:space="preserve"> </t>
    </r>
    <phoneticPr fontId="2" type="noConversion"/>
  </si>
  <si>
    <r>
      <t>d = e</t>
    </r>
    <r>
      <rPr>
        <b/>
        <vertAlign val="superscript"/>
        <sz val="8"/>
        <color rgb="FF0070C0"/>
        <rFont val="Trebuchet MS"/>
        <family val="2"/>
      </rPr>
      <t>-σsqrt(Δt)</t>
    </r>
    <r>
      <rPr>
        <b/>
        <sz val="8"/>
        <color rgb="FF0070C0"/>
        <rFont val="Trebuchet MS"/>
        <family val="2"/>
      </rPr>
      <t xml:space="preserve"> </t>
    </r>
    <phoneticPr fontId="2" type="noConversion"/>
  </si>
  <si>
    <t>BINOMIAL TREE MODEL FOR THE DERIVATIVE PORTION OF CONVERTIBLE BOND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</si>
</sst>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-* #,##0.00_-;\-* #,##0.00_-;_-* &quot;-&quot;??_-;_-@_-"/>
    <numFmt numFmtId="177" formatCode="#,##0.0000_);[Red]\(#,##0.0000\)"/>
    <numFmt numFmtId="178" formatCode="0.000%"/>
    <numFmt numFmtId="179" formatCode="0.00_ "/>
    <numFmt numFmtId="180" formatCode="_(* #,##0_);_(* \(#,##0\);_(* &quot;-&quot;??_);_(@_)"/>
    <numFmt numFmtId="181" formatCode="0.000_ "/>
    <numFmt numFmtId="182" formatCode="#,##0.00_ "/>
    <numFmt numFmtId="183" formatCode="0.0000_ "/>
    <numFmt numFmtId="184" formatCode="#,##0.000_);[Red]\(#,##0.000\)"/>
    <numFmt numFmtId="185" formatCode="0.0000000_ "/>
    <numFmt numFmtId="186" formatCode="#,##0.0000_ "/>
  </numFmts>
  <fonts count="3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8"/>
      <name val="Arial"/>
      <family val="2"/>
    </font>
    <font>
      <sz val="12"/>
      <color indexed="8"/>
      <name val="新細明體"/>
      <family val="1"/>
      <charset val="136"/>
    </font>
    <font>
      <sz val="8"/>
      <color indexed="81"/>
      <name val="Arial"/>
      <family val="2"/>
    </font>
    <font>
      <sz val="10"/>
      <name val="Helv"/>
      <family val="2"/>
    </font>
    <font>
      <b/>
      <sz val="8"/>
      <name val="Trebuchet MS"/>
      <family val="2"/>
    </font>
    <font>
      <sz val="8"/>
      <name val="Trebuchet MS"/>
      <family val="2"/>
    </font>
    <font>
      <i/>
      <sz val="8"/>
      <name val="Trebuchet MS"/>
      <family val="2"/>
    </font>
    <font>
      <sz val="8"/>
      <color indexed="23"/>
      <name val="Trebuchet MS"/>
      <family val="2"/>
    </font>
    <font>
      <b/>
      <u/>
      <sz val="8"/>
      <name val="Trebuchet MS"/>
      <family val="2"/>
    </font>
    <font>
      <sz val="8"/>
      <color indexed="22"/>
      <name val="Trebuchet MS"/>
      <family val="2"/>
    </font>
    <font>
      <sz val="8"/>
      <color indexed="55"/>
      <name val="Trebuchet MS"/>
      <family val="2"/>
    </font>
    <font>
      <i/>
      <sz val="8"/>
      <color indexed="55"/>
      <name val="Trebuchet MS"/>
      <family val="2"/>
    </font>
    <font>
      <sz val="8"/>
      <color indexed="12"/>
      <name val="Trebuchet MS"/>
      <family val="2"/>
    </font>
    <font>
      <sz val="8"/>
      <color indexed="10"/>
      <name val="Trebuchet MS"/>
      <family val="2"/>
    </font>
    <font>
      <b/>
      <sz val="8"/>
      <color rgb="FF0070C0"/>
      <name val="Trebuchet MS"/>
      <family val="2"/>
    </font>
    <font>
      <sz val="8"/>
      <color rgb="FF0070C0"/>
      <name val="Trebuchet MS"/>
      <family val="2"/>
    </font>
    <font>
      <b/>
      <vertAlign val="superscript"/>
      <sz val="8"/>
      <color rgb="FF0070C0"/>
      <name val="Trebuchet MS"/>
      <family val="2"/>
    </font>
    <font>
      <i/>
      <sz val="8"/>
      <color theme="1" tint="0.34998626667073579"/>
      <name val="Trebuchet MS"/>
      <family val="2"/>
    </font>
    <font>
      <b/>
      <i/>
      <sz val="8"/>
      <color theme="1" tint="0.34998626667073579"/>
      <name val="Trebuchet MS"/>
      <family val="2"/>
    </font>
    <font>
      <sz val="8"/>
      <color theme="1" tint="0.34998626667073579"/>
      <name val="Trebuchet MS"/>
      <family val="2"/>
    </font>
    <font>
      <b/>
      <u/>
      <sz val="8"/>
      <color theme="1" tint="0.34998626667073579"/>
      <name val="Trebuchet MS"/>
      <family val="2"/>
    </font>
    <font>
      <b/>
      <sz val="8"/>
      <color theme="1" tint="0.34998626667073579"/>
      <name val="Trebuchet MS"/>
      <family val="2"/>
    </font>
    <font>
      <i/>
      <u/>
      <sz val="8"/>
      <color theme="1" tint="0.34998626667073579"/>
      <name val="Trebuchet MS"/>
      <family val="2"/>
    </font>
    <font>
      <b/>
      <i/>
      <u/>
      <sz val="8"/>
      <color theme="1" tint="0.34998626667073579"/>
      <name val="Trebuchet MS"/>
      <family val="2"/>
    </font>
    <font>
      <b/>
      <sz val="10"/>
      <color theme="0"/>
      <name val="Trebuchet MS"/>
      <family val="2"/>
    </font>
    <font>
      <b/>
      <u/>
      <sz val="10"/>
      <color theme="0"/>
      <name val="Trebuchet MS"/>
      <family val="2"/>
    </font>
    <font>
      <sz val="10"/>
      <color theme="0"/>
      <name val="Trebuchet MS"/>
      <family val="2"/>
    </font>
    <font>
      <sz val="8"/>
      <color theme="0"/>
      <name val="Trebuchet MS"/>
      <family val="2"/>
    </font>
    <font>
      <sz val="8"/>
      <color rgb="FF000000"/>
      <name val="Arial"/>
      <family val="2"/>
    </font>
    <font>
      <sz val="8"/>
      <color rgb="FF000000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/>
    <xf numFmtId="0" fontId="4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0" fontId="7" fillId="0" borderId="2" xfId="0" applyFont="1" applyBorder="1">
      <alignment vertical="center"/>
    </xf>
    <xf numFmtId="0" fontId="8" fillId="0" borderId="0" xfId="0" applyFont="1" applyAlignment="1">
      <alignment horizontal="left"/>
    </xf>
    <xf numFmtId="15" fontId="8" fillId="4" borderId="0" xfId="0" applyNumberFormat="1" applyFont="1" applyFill="1" applyAlignment="1">
      <alignment horizontal="right"/>
    </xf>
    <xf numFmtId="0" fontId="9" fillId="0" borderId="0" xfId="0" applyFont="1">
      <alignment vertical="center"/>
    </xf>
    <xf numFmtId="15" fontId="8" fillId="0" borderId="0" xfId="0" applyNumberFormat="1" applyFont="1">
      <alignment vertical="center"/>
    </xf>
    <xf numFmtId="38" fontId="8" fillId="4" borderId="0" xfId="0" applyNumberFormat="1" applyFont="1" applyFill="1" applyAlignment="1">
      <alignment horizontal="right"/>
    </xf>
    <xf numFmtId="177" fontId="8" fillId="0" borderId="0" xfId="0" applyNumberFormat="1" applyFont="1" applyAlignment="1">
      <alignment horizontal="right"/>
    </xf>
    <xf numFmtId="184" fontId="8" fillId="0" borderId="0" xfId="0" applyNumberFormat="1" applyFont="1">
      <alignment vertical="center"/>
    </xf>
    <xf numFmtId="183" fontId="8" fillId="0" borderId="0" xfId="0" applyNumberFormat="1" applyFont="1" applyAlignment="1">
      <alignment horizontal="right"/>
    </xf>
    <xf numFmtId="181" fontId="8" fillId="0" borderId="0" xfId="0" applyNumberFormat="1" applyFont="1">
      <alignment vertical="center"/>
    </xf>
    <xf numFmtId="178" fontId="8" fillId="0" borderId="0" xfId="0" applyNumberFormat="1" applyFont="1" applyAlignment="1">
      <alignment horizontal="right"/>
    </xf>
    <xf numFmtId="0" fontId="7" fillId="0" borderId="0" xfId="0" applyFont="1" applyAlignment="1">
      <alignment horizontal="center"/>
    </xf>
    <xf numFmtId="38" fontId="8" fillId="0" borderId="0" xfId="0" applyNumberFormat="1" applyFont="1" applyAlignment="1">
      <alignment horizontal="right"/>
    </xf>
    <xf numFmtId="0" fontId="7" fillId="0" borderId="0" xfId="0" applyFont="1" applyAlignment="1">
      <alignment horizontal="center" vertical="center"/>
    </xf>
    <xf numFmtId="176" fontId="8" fillId="0" borderId="0" xfId="3" applyFont="1" applyFill="1" applyBorder="1">
      <alignment vertical="center"/>
    </xf>
    <xf numFmtId="179" fontId="8" fillId="0" borderId="0" xfId="0" applyNumberFormat="1" applyFont="1">
      <alignment vertical="center"/>
    </xf>
    <xf numFmtId="177" fontId="8" fillId="4" borderId="0" xfId="0" applyNumberFormat="1" applyFont="1" applyFill="1" applyAlignment="1">
      <alignment horizontal="right"/>
    </xf>
    <xf numFmtId="176" fontId="8" fillId="0" borderId="0" xfId="3" applyFont="1" applyFill="1" applyBorder="1" applyAlignment="1">
      <alignment horizontal="left" vertical="center"/>
    </xf>
    <xf numFmtId="182" fontId="12" fillId="0" borderId="0" xfId="0" applyNumberFormat="1" applyFont="1">
      <alignment vertical="center"/>
    </xf>
    <xf numFmtId="182" fontId="8" fillId="0" borderId="0" xfId="0" applyNumberFormat="1" applyFont="1">
      <alignment vertical="center"/>
    </xf>
    <xf numFmtId="0" fontId="13" fillId="0" borderId="0" xfId="0" applyFont="1">
      <alignment vertical="center"/>
    </xf>
    <xf numFmtId="38" fontId="13" fillId="4" borderId="0" xfId="0" applyNumberFormat="1" applyFont="1" applyFill="1" applyAlignment="1">
      <alignment horizontal="right"/>
    </xf>
    <xf numFmtId="0" fontId="14" fillId="0" borderId="0" xfId="0" applyFont="1" applyAlignment="1">
      <alignment horizontal="left"/>
    </xf>
    <xf numFmtId="14" fontId="8" fillId="0" borderId="0" xfId="0" applyNumberFormat="1" applyFont="1">
      <alignment vertical="center"/>
    </xf>
    <xf numFmtId="176" fontId="15" fillId="0" borderId="0" xfId="0" applyNumberFormat="1" applyFont="1">
      <alignment vertical="center"/>
    </xf>
    <xf numFmtId="0" fontId="8" fillId="0" borderId="0" xfId="0" applyFont="1" applyAlignment="1">
      <alignment horizontal="left" vertical="center"/>
    </xf>
    <xf numFmtId="40" fontId="8" fillId="0" borderId="0" xfId="3" applyNumberFormat="1" applyFont="1" applyFill="1" applyBorder="1">
      <alignment vertical="center"/>
    </xf>
    <xf numFmtId="186" fontId="7" fillId="2" borderId="3" xfId="3" applyNumberFormat="1" applyFont="1" applyFill="1" applyBorder="1">
      <alignment vertical="center"/>
    </xf>
    <xf numFmtId="182" fontId="8" fillId="0" borderId="0" xfId="3" applyNumberFormat="1" applyFont="1" applyFill="1" applyBorder="1" applyAlignment="1">
      <alignment horizontal="right" vertical="center"/>
    </xf>
    <xf numFmtId="182" fontId="7" fillId="0" borderId="0" xfId="3" applyNumberFormat="1" applyFont="1" applyFill="1" applyBorder="1">
      <alignment vertical="center"/>
    </xf>
    <xf numFmtId="178" fontId="16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10" fontId="16" fillId="0" borderId="0" xfId="0" applyNumberFormat="1" applyFont="1" applyAlignment="1">
      <alignment horizontal="right"/>
    </xf>
    <xf numFmtId="181" fontId="8" fillId="0" borderId="0" xfId="0" applyNumberFormat="1" applyFont="1" applyAlignment="1">
      <alignment horizontal="right"/>
    </xf>
    <xf numFmtId="185" fontId="8" fillId="0" borderId="0" xfId="0" applyNumberFormat="1" applyFont="1" applyAlignment="1">
      <alignment horizontal="right"/>
    </xf>
    <xf numFmtId="10" fontId="10" fillId="0" borderId="0" xfId="4" applyNumberFormat="1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176" fontId="8" fillId="0" borderId="0" xfId="3" applyFont="1">
      <alignment vertical="center"/>
    </xf>
    <xf numFmtId="180" fontId="8" fillId="0" borderId="0" xfId="0" applyNumberFormat="1" applyFont="1">
      <alignment vertical="center"/>
    </xf>
    <xf numFmtId="176" fontId="8" fillId="0" borderId="0" xfId="3" applyFont="1" applyFill="1">
      <alignment vertical="center"/>
    </xf>
    <xf numFmtId="0" fontId="13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177" fontId="8" fillId="3" borderId="0" xfId="3" applyNumberFormat="1" applyFont="1" applyFill="1" applyBorder="1" applyAlignment="1">
      <alignment horizontal="right" vertical="center"/>
    </xf>
    <xf numFmtId="177" fontId="8" fillId="0" borderId="0" xfId="3" applyNumberFormat="1" applyFont="1" applyFill="1" applyBorder="1" applyAlignment="1">
      <alignment horizontal="right" vertical="center"/>
    </xf>
    <xf numFmtId="177" fontId="8" fillId="3" borderId="0" xfId="0" applyNumberFormat="1" applyFont="1" applyFill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77" fontId="7" fillId="3" borderId="0" xfId="3" quotePrefix="1" applyNumberFormat="1" applyFont="1" applyFill="1" applyBorder="1" applyAlignment="1">
      <alignment horizontal="right" vertical="center"/>
    </xf>
    <xf numFmtId="177" fontId="7" fillId="0" borderId="0" xfId="3" quotePrefix="1" applyNumberFormat="1" applyFont="1" applyFill="1" applyBorder="1" applyAlignment="1">
      <alignment horizontal="right" vertical="center"/>
    </xf>
    <xf numFmtId="0" fontId="20" fillId="0" borderId="0" xfId="0" applyFont="1" applyAlignment="1">
      <alignment horizontal="left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178" fontId="20" fillId="0" borderId="0" xfId="0" applyNumberFormat="1" applyFont="1" applyAlignment="1">
      <alignment horizontal="right"/>
    </xf>
    <xf numFmtId="0" fontId="22" fillId="0" borderId="0" xfId="0" applyFont="1">
      <alignment vertical="center"/>
    </xf>
    <xf numFmtId="0" fontId="23" fillId="0" borderId="0" xfId="0" applyFont="1" applyAlignment="1">
      <alignment horizontal="center"/>
    </xf>
    <xf numFmtId="10" fontId="8" fillId="5" borderId="0" xfId="0" applyNumberFormat="1" applyFont="1" applyFill="1" applyAlignment="1">
      <alignment horizontal="right"/>
    </xf>
    <xf numFmtId="38" fontId="8" fillId="5" borderId="0" xfId="0" applyNumberFormat="1" applyFont="1" applyFill="1" applyAlignment="1">
      <alignment horizontal="right"/>
    </xf>
    <xf numFmtId="178" fontId="8" fillId="5" borderId="0" xfId="0" applyNumberFormat="1" applyFont="1" applyFill="1" applyAlignment="1">
      <alignment horizontal="right"/>
    </xf>
    <xf numFmtId="15" fontId="8" fillId="5" borderId="0" xfId="0" applyNumberFormat="1" applyFont="1" applyFill="1" applyAlignment="1">
      <alignment horizontal="right"/>
    </xf>
    <xf numFmtId="177" fontId="8" fillId="5" borderId="0" xfId="0" applyNumberFormat="1" applyFont="1" applyFill="1" applyAlignment="1">
      <alignment horizontal="right"/>
    </xf>
    <xf numFmtId="186" fontId="8" fillId="5" borderId="1" xfId="0" applyNumberFormat="1" applyFont="1" applyFill="1" applyBorder="1">
      <alignment vertical="center"/>
    </xf>
    <xf numFmtId="0" fontId="7" fillId="6" borderId="0" xfId="0" applyFont="1" applyFill="1">
      <alignment vertical="center"/>
    </xf>
    <xf numFmtId="0" fontId="8" fillId="6" borderId="0" xfId="0" applyFont="1" applyFill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/>
    </xf>
    <xf numFmtId="38" fontId="20" fillId="0" borderId="0" xfId="0" applyNumberFormat="1" applyFont="1" applyAlignment="1">
      <alignment horizontal="left"/>
    </xf>
    <xf numFmtId="177" fontId="20" fillId="0" borderId="0" xfId="0" applyNumberFormat="1" applyFont="1" applyAlignment="1">
      <alignment horizontal="right"/>
    </xf>
    <xf numFmtId="0" fontId="27" fillId="7" borderId="1" xfId="0" applyFont="1" applyFill="1" applyBorder="1">
      <alignment vertical="center"/>
    </xf>
    <xf numFmtId="0" fontId="28" fillId="7" borderId="1" xfId="0" applyFont="1" applyFill="1" applyBorder="1">
      <alignment vertical="center"/>
    </xf>
    <xf numFmtId="0" fontId="29" fillId="7" borderId="1" xfId="0" applyFont="1" applyFill="1" applyBorder="1">
      <alignment vertical="center"/>
    </xf>
    <xf numFmtId="0" fontId="30" fillId="7" borderId="0" xfId="0" applyFont="1" applyFill="1">
      <alignment vertical="center"/>
    </xf>
    <xf numFmtId="0" fontId="7" fillId="2" borderId="3" xfId="0" applyFont="1" applyFill="1" applyBorder="1">
      <alignment vertical="center"/>
    </xf>
    <xf numFmtId="0" fontId="7" fillId="0" borderId="2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15" fontId="7" fillId="5" borderId="2" xfId="0" applyNumberFormat="1" applyFont="1" applyFill="1" applyBorder="1" applyAlignment="1">
      <alignment horizontal="right" vertical="center"/>
    </xf>
  </cellXfs>
  <cellStyles count="6">
    <cellStyle name="Style 1" xfId="1" xr:uid="{00000000-0005-0000-0000-000003000000}"/>
    <cellStyle name="百分比" xfId="4" builtinId="5"/>
    <cellStyle name="百分比 2" xfId="5" xr:uid="{00000000-0005-0000-0000-000005000000}"/>
    <cellStyle name="常规" xfId="0" builtinId="0"/>
    <cellStyle name="千位分隔" xfId="3" builtinId="3"/>
    <cellStyle name="一般 2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17</xdr:row>
          <xdr:rowOff>25400</xdr:rowOff>
        </xdr:from>
        <xdr:to>
          <xdr:col>4</xdr:col>
          <xdr:colOff>12700</xdr:colOff>
          <xdr:row>18</xdr:row>
          <xdr:rowOff>152400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EF94420D-6E56-BF63-C396-C6C270B07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Binomial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BZ3029"/>
  <sheetViews>
    <sheetView tabSelected="1" zoomScale="150" zoomScaleNormal="113" workbookViewId="0">
      <pane xSplit="6" ySplit="28" topLeftCell="L32" activePane="bottomRight" state="frozen"/>
      <selection activeCell="H10" sqref="H10"/>
      <selection pane="topRight" activeCell="H10" sqref="H10"/>
      <selection pane="bottomLeft" activeCell="H10" sqref="H10"/>
      <selection pane="bottomRight" activeCell="E10" sqref="E10"/>
    </sheetView>
  </sheetViews>
  <sheetFormatPr baseColWidth="10" defaultColWidth="12.6640625" defaultRowHeight="11"/>
  <cols>
    <col min="1" max="1" width="23.1640625" style="2" customWidth="1"/>
    <col min="2" max="2" width="10.6640625" style="2" customWidth="1"/>
    <col min="3" max="3" width="12.5" style="2" customWidth="1"/>
    <col min="4" max="4" width="7.6640625" style="2" customWidth="1"/>
    <col min="5" max="5" width="8" style="2" customWidth="1"/>
    <col min="6" max="6" width="18.6640625" style="2" customWidth="1"/>
    <col min="7" max="8" width="12.6640625" style="2" customWidth="1"/>
    <col min="9" max="16384" width="12.6640625" style="2"/>
  </cols>
  <sheetData>
    <row r="1" spans="1:78" ht="11.25" customHeight="1">
      <c r="A1" s="1" t="s">
        <v>29</v>
      </c>
      <c r="B1" s="1" t="s">
        <v>30</v>
      </c>
      <c r="C1" s="66"/>
      <c r="D1" s="67"/>
      <c r="E1" s="67"/>
      <c r="F1" s="67"/>
    </row>
    <row r="2" spans="1:78" ht="11.25" customHeight="1">
      <c r="A2" s="1" t="s">
        <v>31</v>
      </c>
      <c r="B2" s="1" t="s">
        <v>30</v>
      </c>
      <c r="C2" s="66"/>
      <c r="D2" s="67"/>
      <c r="E2" s="67"/>
      <c r="F2" s="67"/>
    </row>
    <row r="3" spans="1:78" ht="11.25" customHeight="1">
      <c r="A3" s="1" t="s">
        <v>32</v>
      </c>
      <c r="B3" s="1" t="s">
        <v>30</v>
      </c>
      <c r="C3" s="66" t="s">
        <v>33</v>
      </c>
      <c r="D3" s="67"/>
      <c r="E3" s="67"/>
      <c r="F3" s="67"/>
    </row>
    <row r="4" spans="1:78" ht="11.2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78" s="75" customFormat="1" ht="12.75" customHeight="1">
      <c r="A5" s="72" t="s">
        <v>43</v>
      </c>
      <c r="B5" s="73"/>
      <c r="C5" s="73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</row>
    <row r="6" spans="1:78" ht="11.25" customHeight="1"/>
    <row r="7" spans="1:78" ht="11.25" customHeight="1">
      <c r="A7" s="77" t="s">
        <v>0</v>
      </c>
      <c r="B7" s="83">
        <f>DATE(2012,9,30)</f>
        <v>41182</v>
      </c>
      <c r="C7" s="4"/>
      <c r="D7" s="4"/>
      <c r="E7" s="4"/>
      <c r="F7" s="77" t="s">
        <v>27</v>
      </c>
      <c r="G7" s="4">
        <v>0</v>
      </c>
      <c r="H7" s="4">
        <f t="shared" ref="H7:AF7" si="0">G7+1</f>
        <v>1</v>
      </c>
      <c r="I7" s="4">
        <f t="shared" si="0"/>
        <v>2</v>
      </c>
      <c r="J7" s="4">
        <f t="shared" si="0"/>
        <v>3</v>
      </c>
      <c r="K7" s="4">
        <f t="shared" si="0"/>
        <v>4</v>
      </c>
      <c r="L7" s="4">
        <f t="shared" si="0"/>
        <v>5</v>
      </c>
      <c r="M7" s="4">
        <f t="shared" si="0"/>
        <v>6</v>
      </c>
      <c r="N7" s="4">
        <f t="shared" si="0"/>
        <v>7</v>
      </c>
      <c r="O7" s="4">
        <f t="shared" si="0"/>
        <v>8</v>
      </c>
      <c r="P7" s="4">
        <f t="shared" si="0"/>
        <v>9</v>
      </c>
      <c r="Q7" s="4">
        <f t="shared" si="0"/>
        <v>10</v>
      </c>
      <c r="R7" s="4">
        <f t="shared" si="0"/>
        <v>11</v>
      </c>
      <c r="S7" s="4">
        <f t="shared" si="0"/>
        <v>12</v>
      </c>
      <c r="T7" s="4">
        <f t="shared" si="0"/>
        <v>13</v>
      </c>
      <c r="U7" s="4">
        <f t="shared" si="0"/>
        <v>14</v>
      </c>
      <c r="V7" s="4">
        <f t="shared" si="0"/>
        <v>15</v>
      </c>
      <c r="W7" s="4">
        <f t="shared" si="0"/>
        <v>16</v>
      </c>
      <c r="X7" s="4">
        <f t="shared" si="0"/>
        <v>17</v>
      </c>
      <c r="Y7" s="4">
        <f t="shared" si="0"/>
        <v>18</v>
      </c>
      <c r="Z7" s="4">
        <f t="shared" si="0"/>
        <v>19</v>
      </c>
      <c r="AA7" s="4">
        <f t="shared" si="0"/>
        <v>20</v>
      </c>
      <c r="AB7" s="4">
        <f t="shared" si="0"/>
        <v>21</v>
      </c>
      <c r="AC7" s="4">
        <f t="shared" si="0"/>
        <v>22</v>
      </c>
      <c r="AD7" s="4">
        <f t="shared" si="0"/>
        <v>23</v>
      </c>
      <c r="AE7" s="4">
        <f t="shared" si="0"/>
        <v>24</v>
      </c>
      <c r="AF7" s="4">
        <f t="shared" si="0"/>
        <v>25</v>
      </c>
    </row>
    <row r="8" spans="1:78" ht="11.25" customHeight="1">
      <c r="A8" s="29" t="s">
        <v>2</v>
      </c>
      <c r="B8" s="63">
        <f>DATE(2011,MONTH(B7)+18,DAY(B7))</f>
        <v>41363</v>
      </c>
      <c r="C8" s="78" t="str">
        <f>CONCATENATE("(",ROUND((B8-B7)/365.25,2)," years expected life)")</f>
        <v>(0.5 years expected life)</v>
      </c>
      <c r="D8" s="55"/>
      <c r="E8" s="55"/>
      <c r="F8" s="29" t="s">
        <v>8</v>
      </c>
      <c r="G8" s="8">
        <f>B7</f>
        <v>41182</v>
      </c>
      <c r="H8" s="8">
        <f t="shared" ref="H8:AF8" si="1">G8+($B$8-$B$7)/$B$9</f>
        <v>41189.24</v>
      </c>
      <c r="I8" s="8">
        <f t="shared" si="1"/>
        <v>41196.479999999996</v>
      </c>
      <c r="J8" s="8">
        <f t="shared" si="1"/>
        <v>41203.719999999994</v>
      </c>
      <c r="K8" s="8">
        <f t="shared" si="1"/>
        <v>41210.959999999992</v>
      </c>
      <c r="L8" s="8">
        <f t="shared" si="1"/>
        <v>41218.19999999999</v>
      </c>
      <c r="M8" s="8">
        <f t="shared" si="1"/>
        <v>41225.439999999988</v>
      </c>
      <c r="N8" s="8">
        <f t="shared" si="1"/>
        <v>41232.679999999986</v>
      </c>
      <c r="O8" s="8">
        <f t="shared" si="1"/>
        <v>41239.919999999984</v>
      </c>
      <c r="P8" s="8">
        <f t="shared" si="1"/>
        <v>41247.159999999982</v>
      </c>
      <c r="Q8" s="8">
        <f t="shared" si="1"/>
        <v>41254.39999999998</v>
      </c>
      <c r="R8" s="8">
        <f t="shared" si="1"/>
        <v>41261.639999999978</v>
      </c>
      <c r="S8" s="8">
        <f t="shared" si="1"/>
        <v>41268.879999999976</v>
      </c>
      <c r="T8" s="8">
        <f t="shared" si="1"/>
        <v>41276.119999999974</v>
      </c>
      <c r="U8" s="8">
        <f t="shared" si="1"/>
        <v>41283.359999999971</v>
      </c>
      <c r="V8" s="8">
        <f t="shared" si="1"/>
        <v>41290.599999999969</v>
      </c>
      <c r="W8" s="8">
        <f t="shared" si="1"/>
        <v>41297.839999999967</v>
      </c>
      <c r="X8" s="8">
        <f t="shared" si="1"/>
        <v>41305.079999999965</v>
      </c>
      <c r="Y8" s="8">
        <f t="shared" si="1"/>
        <v>41312.319999999963</v>
      </c>
      <c r="Z8" s="8">
        <f t="shared" si="1"/>
        <v>41319.559999999961</v>
      </c>
      <c r="AA8" s="8">
        <f t="shared" si="1"/>
        <v>41326.799999999959</v>
      </c>
      <c r="AB8" s="8">
        <f t="shared" si="1"/>
        <v>41334.039999999957</v>
      </c>
      <c r="AC8" s="8">
        <f t="shared" si="1"/>
        <v>41341.279999999955</v>
      </c>
      <c r="AD8" s="8">
        <f t="shared" si="1"/>
        <v>41348.519999999953</v>
      </c>
      <c r="AE8" s="8">
        <f t="shared" si="1"/>
        <v>41355.759999999951</v>
      </c>
      <c r="AF8" s="8">
        <f t="shared" si="1"/>
        <v>41362.999999999949</v>
      </c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</row>
    <row r="9" spans="1:78" ht="11.25" customHeight="1">
      <c r="A9" s="29" t="s">
        <v>3</v>
      </c>
      <c r="B9" s="61">
        <v>25</v>
      </c>
      <c r="C9" s="78" t="str">
        <f>CONCATENATE("(",ROUND((B8-B7)/B9,0)," days per period on average)")</f>
        <v>(7 days per period on average)</v>
      </c>
      <c r="D9" s="55"/>
      <c r="E9" s="56"/>
      <c r="F9" s="81" t="s">
        <v>34</v>
      </c>
      <c r="H9" s="10">
        <f t="shared" ref="H9:AF9" si="2">IF(H8="","",(H8-G8)/365.25)</f>
        <v>1.9822039698830837E-2</v>
      </c>
      <c r="I9" s="10">
        <f t="shared" si="2"/>
        <v>1.9822039698830837E-2</v>
      </c>
      <c r="J9" s="10">
        <f t="shared" si="2"/>
        <v>1.9822039698830837E-2</v>
      </c>
      <c r="K9" s="10">
        <f t="shared" si="2"/>
        <v>1.9822039698830837E-2</v>
      </c>
      <c r="L9" s="10">
        <f t="shared" si="2"/>
        <v>1.9822039698830837E-2</v>
      </c>
      <c r="M9" s="10">
        <f t="shared" si="2"/>
        <v>1.9822039698830837E-2</v>
      </c>
      <c r="N9" s="10">
        <f t="shared" si="2"/>
        <v>1.9822039698830837E-2</v>
      </c>
      <c r="O9" s="10">
        <f t="shared" si="2"/>
        <v>1.9822039698830837E-2</v>
      </c>
      <c r="P9" s="10">
        <f t="shared" si="2"/>
        <v>1.9822039698830837E-2</v>
      </c>
      <c r="Q9" s="10">
        <f t="shared" si="2"/>
        <v>1.9822039698830837E-2</v>
      </c>
      <c r="R9" s="10">
        <f t="shared" si="2"/>
        <v>1.9822039698830837E-2</v>
      </c>
      <c r="S9" s="10">
        <f t="shared" si="2"/>
        <v>1.9822039698830837E-2</v>
      </c>
      <c r="T9" s="10">
        <f t="shared" si="2"/>
        <v>1.9822039698830837E-2</v>
      </c>
      <c r="U9" s="10">
        <f t="shared" si="2"/>
        <v>1.9822039698830837E-2</v>
      </c>
      <c r="V9" s="10">
        <f t="shared" si="2"/>
        <v>1.9822039698830837E-2</v>
      </c>
      <c r="W9" s="10">
        <f t="shared" si="2"/>
        <v>1.9822039698830837E-2</v>
      </c>
      <c r="X9" s="10">
        <f t="shared" si="2"/>
        <v>1.9822039698830837E-2</v>
      </c>
      <c r="Y9" s="10">
        <f t="shared" si="2"/>
        <v>1.9822039698830837E-2</v>
      </c>
      <c r="Z9" s="10">
        <f t="shared" si="2"/>
        <v>1.9822039698830837E-2</v>
      </c>
      <c r="AA9" s="10">
        <f t="shared" si="2"/>
        <v>1.9822039698830837E-2</v>
      </c>
      <c r="AB9" s="10">
        <f t="shared" si="2"/>
        <v>1.9822039698830837E-2</v>
      </c>
      <c r="AC9" s="10">
        <f t="shared" si="2"/>
        <v>1.9822039698830837E-2</v>
      </c>
      <c r="AD9" s="10">
        <f t="shared" si="2"/>
        <v>1.9822039698830837E-2</v>
      </c>
      <c r="AE9" s="10">
        <f t="shared" si="2"/>
        <v>1.9822039698830837E-2</v>
      </c>
      <c r="AF9" s="10">
        <f t="shared" si="2"/>
        <v>1.9822039698830837E-2</v>
      </c>
      <c r="AG9" s="10"/>
      <c r="AH9" s="10"/>
      <c r="AI9" s="10"/>
      <c r="AJ9" s="10"/>
      <c r="AK9" s="10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</row>
    <row r="10" spans="1:78" ht="11.25" customHeight="1">
      <c r="A10" s="29" t="s">
        <v>7</v>
      </c>
      <c r="B10" s="6">
        <f>B7</f>
        <v>41182</v>
      </c>
      <c r="C10" s="78" t="str">
        <f>CONCATENATE("(",ROUND((B10-B7)/365.25,2)," years from valuation date)")</f>
        <v>(0 years from valuation date)</v>
      </c>
      <c r="D10" s="55"/>
      <c r="E10" s="56"/>
      <c r="F10" s="82" t="s">
        <v>40</v>
      </c>
      <c r="H10" s="12">
        <f t="shared" ref="H10:AF10" si="3">IF(H8="","",EXP(($D$12-$B$15)*H9))</f>
        <v>1.0032862215959217</v>
      </c>
      <c r="I10" s="12">
        <f t="shared" si="3"/>
        <v>1.0032862215959217</v>
      </c>
      <c r="J10" s="12">
        <f t="shared" si="3"/>
        <v>1.0032862215959217</v>
      </c>
      <c r="K10" s="12">
        <f t="shared" si="3"/>
        <v>1.0032862215959217</v>
      </c>
      <c r="L10" s="12">
        <f t="shared" si="3"/>
        <v>1.0032862215959217</v>
      </c>
      <c r="M10" s="12">
        <f t="shared" si="3"/>
        <v>1.0032862215959217</v>
      </c>
      <c r="N10" s="12">
        <f t="shared" si="3"/>
        <v>1.0032862215959217</v>
      </c>
      <c r="O10" s="12">
        <f t="shared" si="3"/>
        <v>1.0032862215959217</v>
      </c>
      <c r="P10" s="12">
        <f t="shared" si="3"/>
        <v>1.0032862215959217</v>
      </c>
      <c r="Q10" s="12">
        <f t="shared" si="3"/>
        <v>1.0032862215959217</v>
      </c>
      <c r="R10" s="12">
        <f t="shared" si="3"/>
        <v>1.0032862215959217</v>
      </c>
      <c r="S10" s="12">
        <f t="shared" si="3"/>
        <v>1.0032862215959217</v>
      </c>
      <c r="T10" s="12">
        <f t="shared" si="3"/>
        <v>1.0032862215959217</v>
      </c>
      <c r="U10" s="12">
        <f t="shared" si="3"/>
        <v>1.0032862215959217</v>
      </c>
      <c r="V10" s="12">
        <f t="shared" si="3"/>
        <v>1.0032862215959217</v>
      </c>
      <c r="W10" s="12">
        <f t="shared" si="3"/>
        <v>1.0032862215959217</v>
      </c>
      <c r="X10" s="12">
        <f t="shared" si="3"/>
        <v>1.0032862215959217</v>
      </c>
      <c r="Y10" s="12">
        <f t="shared" si="3"/>
        <v>1.0032862215959217</v>
      </c>
      <c r="Z10" s="12">
        <f t="shared" si="3"/>
        <v>1.0032862215959217</v>
      </c>
      <c r="AA10" s="12">
        <f t="shared" si="3"/>
        <v>1.0032862215959217</v>
      </c>
      <c r="AB10" s="12">
        <f t="shared" si="3"/>
        <v>1.0032862215959217</v>
      </c>
      <c r="AC10" s="12">
        <f t="shared" si="3"/>
        <v>1.0032862215959217</v>
      </c>
      <c r="AD10" s="12">
        <f t="shared" si="3"/>
        <v>1.0032862215959217</v>
      </c>
      <c r="AE10" s="12">
        <f t="shared" si="3"/>
        <v>1.0032862215959217</v>
      </c>
      <c r="AF10" s="12">
        <f t="shared" si="3"/>
        <v>1.0032862215959217</v>
      </c>
      <c r="AG10" s="12"/>
      <c r="AH10" s="12"/>
      <c r="AI10" s="12"/>
      <c r="AJ10" s="12"/>
      <c r="AK10" s="12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78" ht="11.25" customHeight="1">
      <c r="A11" s="29"/>
      <c r="C11" s="55"/>
      <c r="D11" s="55"/>
      <c r="E11" s="56"/>
      <c r="F11" s="82" t="s">
        <v>41</v>
      </c>
      <c r="H11" s="12">
        <f t="shared" ref="H11:AF11" si="4">IF(H8="","",EXP($B$14*SQRT(H9)))</f>
        <v>1.1005788560814418</v>
      </c>
      <c r="I11" s="12">
        <f t="shared" si="4"/>
        <v>1.1005788560814418</v>
      </c>
      <c r="J11" s="12">
        <f t="shared" si="4"/>
        <v>1.1005788560814418</v>
      </c>
      <c r="K11" s="12">
        <f t="shared" si="4"/>
        <v>1.1005788560814418</v>
      </c>
      <c r="L11" s="12">
        <f t="shared" si="4"/>
        <v>1.1005788560814418</v>
      </c>
      <c r="M11" s="12">
        <f t="shared" si="4"/>
        <v>1.1005788560814418</v>
      </c>
      <c r="N11" s="12">
        <f t="shared" si="4"/>
        <v>1.1005788560814418</v>
      </c>
      <c r="O11" s="12">
        <f t="shared" si="4"/>
        <v>1.1005788560814418</v>
      </c>
      <c r="P11" s="12">
        <f t="shared" si="4"/>
        <v>1.1005788560814418</v>
      </c>
      <c r="Q11" s="12">
        <f t="shared" si="4"/>
        <v>1.1005788560814418</v>
      </c>
      <c r="R11" s="12">
        <f t="shared" si="4"/>
        <v>1.1005788560814418</v>
      </c>
      <c r="S11" s="12">
        <f t="shared" si="4"/>
        <v>1.1005788560814418</v>
      </c>
      <c r="T11" s="12">
        <f t="shared" si="4"/>
        <v>1.1005788560814418</v>
      </c>
      <c r="U11" s="12">
        <f t="shared" si="4"/>
        <v>1.1005788560814418</v>
      </c>
      <c r="V11" s="12">
        <f t="shared" si="4"/>
        <v>1.1005788560814418</v>
      </c>
      <c r="W11" s="12">
        <f t="shared" si="4"/>
        <v>1.1005788560814418</v>
      </c>
      <c r="X11" s="12">
        <f t="shared" si="4"/>
        <v>1.1005788560814418</v>
      </c>
      <c r="Y11" s="12">
        <f t="shared" si="4"/>
        <v>1.1005788560814418</v>
      </c>
      <c r="Z11" s="12">
        <f t="shared" si="4"/>
        <v>1.1005788560814418</v>
      </c>
      <c r="AA11" s="12">
        <f t="shared" si="4"/>
        <v>1.1005788560814418</v>
      </c>
      <c r="AB11" s="12">
        <f t="shared" si="4"/>
        <v>1.1005788560814418</v>
      </c>
      <c r="AC11" s="12">
        <f t="shared" si="4"/>
        <v>1.1005788560814418</v>
      </c>
      <c r="AD11" s="12">
        <f t="shared" si="4"/>
        <v>1.1005788560814418</v>
      </c>
      <c r="AE11" s="12">
        <f t="shared" si="4"/>
        <v>1.1005788560814418</v>
      </c>
      <c r="AF11" s="12">
        <f t="shared" si="4"/>
        <v>1.1005788560814418</v>
      </c>
      <c r="AG11" s="12"/>
      <c r="AH11" s="12"/>
      <c r="AI11" s="12"/>
      <c r="AJ11" s="12"/>
      <c r="AK11" s="12"/>
      <c r="AL11" s="11"/>
      <c r="AM11" s="11"/>
      <c r="AN11" s="11"/>
      <c r="AO11" s="11"/>
      <c r="AP11" s="11"/>
      <c r="AQ11" s="11"/>
      <c r="AR11" s="11"/>
      <c r="AS11" s="11"/>
      <c r="AT11" s="11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</row>
    <row r="12" spans="1:78" ht="11.25" customHeight="1">
      <c r="A12" s="29" t="s">
        <v>4</v>
      </c>
      <c r="B12" s="62">
        <v>0.18</v>
      </c>
      <c r="C12" s="78" t="str">
        <f>CONCATENATE("(","continuous rate =")</f>
        <v>(continuous rate =</v>
      </c>
      <c r="D12" s="57">
        <f>LN(1+B12)</f>
        <v>0.16551443847757333</v>
      </c>
      <c r="E12" s="54" t="s">
        <v>35</v>
      </c>
      <c r="F12" s="82" t="s">
        <v>42</v>
      </c>
      <c r="H12" s="12">
        <f t="shared" ref="H12:AF12" si="5">IF(H8="","",EXP(-$B$14*SQRT(H9)))</f>
        <v>0.9086127672490929</v>
      </c>
      <c r="I12" s="12">
        <f t="shared" si="5"/>
        <v>0.9086127672490929</v>
      </c>
      <c r="J12" s="12">
        <f t="shared" si="5"/>
        <v>0.9086127672490929</v>
      </c>
      <c r="K12" s="12">
        <f t="shared" si="5"/>
        <v>0.9086127672490929</v>
      </c>
      <c r="L12" s="12">
        <f t="shared" si="5"/>
        <v>0.9086127672490929</v>
      </c>
      <c r="M12" s="12">
        <f t="shared" si="5"/>
        <v>0.9086127672490929</v>
      </c>
      <c r="N12" s="12">
        <f t="shared" si="5"/>
        <v>0.9086127672490929</v>
      </c>
      <c r="O12" s="12">
        <f t="shared" si="5"/>
        <v>0.9086127672490929</v>
      </c>
      <c r="P12" s="12">
        <f t="shared" si="5"/>
        <v>0.9086127672490929</v>
      </c>
      <c r="Q12" s="12">
        <f t="shared" si="5"/>
        <v>0.9086127672490929</v>
      </c>
      <c r="R12" s="12">
        <f t="shared" si="5"/>
        <v>0.9086127672490929</v>
      </c>
      <c r="S12" s="12">
        <f t="shared" si="5"/>
        <v>0.9086127672490929</v>
      </c>
      <c r="T12" s="12">
        <f t="shared" si="5"/>
        <v>0.9086127672490929</v>
      </c>
      <c r="U12" s="12">
        <f t="shared" si="5"/>
        <v>0.9086127672490929</v>
      </c>
      <c r="V12" s="12">
        <f t="shared" si="5"/>
        <v>0.9086127672490929</v>
      </c>
      <c r="W12" s="12">
        <f t="shared" si="5"/>
        <v>0.9086127672490929</v>
      </c>
      <c r="X12" s="12">
        <f t="shared" si="5"/>
        <v>0.9086127672490929</v>
      </c>
      <c r="Y12" s="12">
        <f t="shared" si="5"/>
        <v>0.9086127672490929</v>
      </c>
      <c r="Z12" s="12">
        <f t="shared" si="5"/>
        <v>0.9086127672490929</v>
      </c>
      <c r="AA12" s="12">
        <f t="shared" si="5"/>
        <v>0.9086127672490929</v>
      </c>
      <c r="AB12" s="12">
        <f t="shared" si="5"/>
        <v>0.9086127672490929</v>
      </c>
      <c r="AC12" s="12">
        <f t="shared" si="5"/>
        <v>0.9086127672490929</v>
      </c>
      <c r="AD12" s="12">
        <f t="shared" si="5"/>
        <v>0.9086127672490929</v>
      </c>
      <c r="AE12" s="12">
        <f t="shared" si="5"/>
        <v>0.9086127672490929</v>
      </c>
      <c r="AF12" s="12">
        <f t="shared" si="5"/>
        <v>0.9086127672490929</v>
      </c>
      <c r="AG12" s="12"/>
      <c r="AH12" s="12"/>
      <c r="AI12" s="12"/>
      <c r="AJ12" s="12"/>
      <c r="AK12" s="12"/>
      <c r="AL12" s="11"/>
      <c r="AM12" s="11"/>
      <c r="AN12" s="11"/>
      <c r="AO12" s="11"/>
      <c r="AP12" s="11"/>
      <c r="AQ12" s="11"/>
      <c r="AR12" s="11"/>
      <c r="AS12" s="11"/>
      <c r="AT12" s="11"/>
    </row>
    <row r="13" spans="1:78" ht="11.25" customHeight="1">
      <c r="A13" s="29"/>
      <c r="B13" s="14"/>
      <c r="C13" s="78"/>
      <c r="D13" s="57"/>
      <c r="E13" s="54"/>
      <c r="F13" s="82" t="s">
        <v>36</v>
      </c>
      <c r="H13" s="12">
        <f t="shared" ref="H13:AF13" si="6">IF(H8="","",(H10-H12)/(H11-H12))</f>
        <v>0.4931780134850311</v>
      </c>
      <c r="I13" s="12">
        <f t="shared" si="6"/>
        <v>0.4931780134850311</v>
      </c>
      <c r="J13" s="12">
        <f t="shared" si="6"/>
        <v>0.4931780134850311</v>
      </c>
      <c r="K13" s="12">
        <f t="shared" si="6"/>
        <v>0.4931780134850311</v>
      </c>
      <c r="L13" s="12">
        <f t="shared" si="6"/>
        <v>0.4931780134850311</v>
      </c>
      <c r="M13" s="12">
        <f t="shared" si="6"/>
        <v>0.4931780134850311</v>
      </c>
      <c r="N13" s="12">
        <f t="shared" si="6"/>
        <v>0.4931780134850311</v>
      </c>
      <c r="O13" s="12">
        <f t="shared" si="6"/>
        <v>0.4931780134850311</v>
      </c>
      <c r="P13" s="12">
        <f t="shared" si="6"/>
        <v>0.4931780134850311</v>
      </c>
      <c r="Q13" s="12">
        <f t="shared" si="6"/>
        <v>0.4931780134850311</v>
      </c>
      <c r="R13" s="12">
        <f t="shared" si="6"/>
        <v>0.4931780134850311</v>
      </c>
      <c r="S13" s="12">
        <f t="shared" si="6"/>
        <v>0.4931780134850311</v>
      </c>
      <c r="T13" s="12">
        <f t="shared" si="6"/>
        <v>0.4931780134850311</v>
      </c>
      <c r="U13" s="12">
        <f t="shared" si="6"/>
        <v>0.4931780134850311</v>
      </c>
      <c r="V13" s="12">
        <f t="shared" si="6"/>
        <v>0.4931780134850311</v>
      </c>
      <c r="W13" s="12">
        <f t="shared" si="6"/>
        <v>0.4931780134850311</v>
      </c>
      <c r="X13" s="12">
        <f t="shared" si="6"/>
        <v>0.4931780134850311</v>
      </c>
      <c r="Y13" s="12">
        <f t="shared" si="6"/>
        <v>0.4931780134850311</v>
      </c>
      <c r="Z13" s="12">
        <f t="shared" si="6"/>
        <v>0.4931780134850311</v>
      </c>
      <c r="AA13" s="12">
        <f t="shared" si="6"/>
        <v>0.4931780134850311</v>
      </c>
      <c r="AB13" s="12">
        <f t="shared" si="6"/>
        <v>0.4931780134850311</v>
      </c>
      <c r="AC13" s="12">
        <f t="shared" si="6"/>
        <v>0.4931780134850311</v>
      </c>
      <c r="AD13" s="12">
        <f t="shared" si="6"/>
        <v>0.4931780134850311</v>
      </c>
      <c r="AE13" s="12">
        <f t="shared" si="6"/>
        <v>0.4931780134850311</v>
      </c>
      <c r="AF13" s="12">
        <f t="shared" si="6"/>
        <v>0.4931780134850311</v>
      </c>
      <c r="AG13" s="12"/>
      <c r="AH13" s="12"/>
      <c r="AI13" s="12"/>
      <c r="AJ13" s="12"/>
      <c r="AK13" s="12"/>
      <c r="AL13" s="11"/>
      <c r="AM13" s="11"/>
      <c r="AN13" s="11"/>
      <c r="AO13" s="11"/>
      <c r="AP13" s="11"/>
      <c r="AQ13" s="11"/>
      <c r="AR13" s="11"/>
      <c r="AS13" s="11"/>
      <c r="AT13" s="11"/>
    </row>
    <row r="14" spans="1:78" ht="11.25" customHeight="1">
      <c r="A14" s="29" t="s">
        <v>1</v>
      </c>
      <c r="B14" s="60">
        <v>0.68069999999999997</v>
      </c>
      <c r="C14" s="79"/>
      <c r="D14" s="58"/>
      <c r="E14" s="59"/>
      <c r="F14" s="82" t="s">
        <v>37</v>
      </c>
      <c r="H14" s="12">
        <f t="shared" ref="H14:AF14" si="7">IF(H8="","",1-H13)</f>
        <v>0.5068219865149689</v>
      </c>
      <c r="I14" s="12">
        <f t="shared" si="7"/>
        <v>0.5068219865149689</v>
      </c>
      <c r="J14" s="12">
        <f t="shared" si="7"/>
        <v>0.5068219865149689</v>
      </c>
      <c r="K14" s="12">
        <f t="shared" si="7"/>
        <v>0.5068219865149689</v>
      </c>
      <c r="L14" s="12">
        <f t="shared" si="7"/>
        <v>0.5068219865149689</v>
      </c>
      <c r="M14" s="12">
        <f t="shared" si="7"/>
        <v>0.5068219865149689</v>
      </c>
      <c r="N14" s="12">
        <f t="shared" si="7"/>
        <v>0.5068219865149689</v>
      </c>
      <c r="O14" s="12">
        <f t="shared" si="7"/>
        <v>0.5068219865149689</v>
      </c>
      <c r="P14" s="12">
        <f t="shared" si="7"/>
        <v>0.5068219865149689</v>
      </c>
      <c r="Q14" s="12">
        <f t="shared" si="7"/>
        <v>0.5068219865149689</v>
      </c>
      <c r="R14" s="12">
        <f t="shared" si="7"/>
        <v>0.5068219865149689</v>
      </c>
      <c r="S14" s="12">
        <f t="shared" si="7"/>
        <v>0.5068219865149689</v>
      </c>
      <c r="T14" s="12">
        <f t="shared" si="7"/>
        <v>0.5068219865149689</v>
      </c>
      <c r="U14" s="12">
        <f t="shared" si="7"/>
        <v>0.5068219865149689</v>
      </c>
      <c r="V14" s="12">
        <f t="shared" si="7"/>
        <v>0.5068219865149689</v>
      </c>
      <c r="W14" s="12">
        <f t="shared" si="7"/>
        <v>0.5068219865149689</v>
      </c>
      <c r="X14" s="12">
        <f t="shared" si="7"/>
        <v>0.5068219865149689</v>
      </c>
      <c r="Y14" s="12">
        <f t="shared" si="7"/>
        <v>0.5068219865149689</v>
      </c>
      <c r="Z14" s="12">
        <f t="shared" si="7"/>
        <v>0.5068219865149689</v>
      </c>
      <c r="AA14" s="12">
        <f t="shared" si="7"/>
        <v>0.5068219865149689</v>
      </c>
      <c r="AB14" s="12">
        <f t="shared" si="7"/>
        <v>0.5068219865149689</v>
      </c>
      <c r="AC14" s="12">
        <f t="shared" si="7"/>
        <v>0.5068219865149689</v>
      </c>
      <c r="AD14" s="12">
        <f t="shared" si="7"/>
        <v>0.5068219865149689</v>
      </c>
      <c r="AE14" s="12">
        <f t="shared" si="7"/>
        <v>0.5068219865149689</v>
      </c>
      <c r="AF14" s="12">
        <f t="shared" si="7"/>
        <v>0.5068219865149689</v>
      </c>
      <c r="AG14" s="12"/>
      <c r="AH14" s="12"/>
      <c r="AI14" s="12"/>
      <c r="AJ14" s="12"/>
      <c r="AK14" s="12"/>
      <c r="AL14" s="11"/>
      <c r="AM14" s="11"/>
      <c r="AN14" s="11"/>
      <c r="AO14" s="11"/>
      <c r="AP14" s="11"/>
      <c r="AQ14" s="11"/>
      <c r="AR14" s="11"/>
      <c r="AS14" s="11"/>
      <c r="AT14" s="11"/>
    </row>
    <row r="15" spans="1:78" ht="11.25" customHeight="1">
      <c r="A15" s="29" t="s">
        <v>5</v>
      </c>
      <c r="B15" s="62">
        <v>0</v>
      </c>
      <c r="C15" s="80"/>
      <c r="D15" s="58"/>
      <c r="E15" s="59"/>
      <c r="F15" s="5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6"/>
      <c r="AH15" s="16"/>
      <c r="AI15" s="16"/>
      <c r="AJ15" s="16"/>
      <c r="AK15" s="16"/>
      <c r="AL15" s="11"/>
      <c r="AM15" s="11"/>
      <c r="AN15" s="11"/>
      <c r="AO15" s="11"/>
      <c r="AP15" s="11"/>
      <c r="AQ15" s="11"/>
      <c r="AR15" s="11"/>
      <c r="AS15" s="11"/>
      <c r="AT15" s="11"/>
      <c r="BN15" s="17"/>
      <c r="BO15" s="18"/>
    </row>
    <row r="16" spans="1:78" ht="11.25" customHeight="1">
      <c r="A16" s="2" t="s">
        <v>17</v>
      </c>
      <c r="B16" s="60"/>
      <c r="C16" s="78" t="s">
        <v>38</v>
      </c>
      <c r="D16" s="58"/>
      <c r="E16" s="59"/>
      <c r="F16" s="5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16"/>
      <c r="AH16" s="16"/>
      <c r="AI16" s="16"/>
      <c r="AJ16" s="16"/>
      <c r="AK16" s="16"/>
      <c r="AL16" s="11"/>
      <c r="AM16" s="11"/>
      <c r="AN16" s="11"/>
      <c r="AO16" s="11"/>
      <c r="AP16" s="11"/>
      <c r="AQ16" s="11"/>
      <c r="AR16" s="11"/>
      <c r="AS16" s="11"/>
      <c r="AT16" s="11"/>
      <c r="BN16" s="18"/>
      <c r="BO16" s="18"/>
    </row>
    <row r="17" spans="1:67" ht="11.25" customHeight="1">
      <c r="A17" s="2" t="s">
        <v>21</v>
      </c>
      <c r="B17" s="63"/>
      <c r="C17" s="78" t="s">
        <v>39</v>
      </c>
      <c r="D17" s="58"/>
      <c r="E17" s="59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16"/>
      <c r="AH17" s="16"/>
      <c r="AI17" s="16"/>
      <c r="AJ17" s="16"/>
      <c r="AK17" s="16"/>
      <c r="AL17" s="11"/>
      <c r="AM17" s="11"/>
      <c r="AN17" s="11"/>
      <c r="AO17" s="11"/>
      <c r="AP17" s="11"/>
      <c r="AQ17" s="11"/>
      <c r="AR17" s="11"/>
      <c r="AS17" s="11"/>
      <c r="AT17" s="11"/>
      <c r="AU17" s="18"/>
      <c r="AV17" s="18"/>
      <c r="AW17" s="18"/>
      <c r="AX17" s="18"/>
      <c r="AY17" s="18"/>
      <c r="AZ17" s="18"/>
      <c r="BA17" s="18"/>
      <c r="BB17" s="18"/>
      <c r="BC17" s="18"/>
      <c r="BN17" s="18"/>
      <c r="BO17" s="19"/>
    </row>
    <row r="18" spans="1:67" ht="11.25" customHeight="1">
      <c r="A18" s="29" t="s">
        <v>28</v>
      </c>
      <c r="B18" s="64">
        <v>1</v>
      </c>
      <c r="E18" s="15"/>
      <c r="F18" s="2" t="s">
        <v>9</v>
      </c>
      <c r="G18" s="20">
        <f t="shared" ref="G18:AF18" si="8">IF(G8&lt;$B$10,$B$24,$B$18)</f>
        <v>1</v>
      </c>
      <c r="H18" s="20">
        <f t="shared" si="8"/>
        <v>1</v>
      </c>
      <c r="I18" s="20">
        <f t="shared" si="8"/>
        <v>1</v>
      </c>
      <c r="J18" s="20">
        <f t="shared" si="8"/>
        <v>1</v>
      </c>
      <c r="K18" s="20">
        <f t="shared" si="8"/>
        <v>1</v>
      </c>
      <c r="L18" s="20">
        <f t="shared" si="8"/>
        <v>1</v>
      </c>
      <c r="M18" s="20">
        <f t="shared" si="8"/>
        <v>1</v>
      </c>
      <c r="N18" s="20">
        <f t="shared" si="8"/>
        <v>1</v>
      </c>
      <c r="O18" s="20">
        <f t="shared" si="8"/>
        <v>1</v>
      </c>
      <c r="P18" s="20">
        <f t="shared" si="8"/>
        <v>1</v>
      </c>
      <c r="Q18" s="20">
        <f t="shared" si="8"/>
        <v>1</v>
      </c>
      <c r="R18" s="20">
        <f t="shared" si="8"/>
        <v>1</v>
      </c>
      <c r="S18" s="20">
        <f t="shared" si="8"/>
        <v>1</v>
      </c>
      <c r="T18" s="20">
        <f t="shared" si="8"/>
        <v>1</v>
      </c>
      <c r="U18" s="20">
        <f t="shared" si="8"/>
        <v>1</v>
      </c>
      <c r="V18" s="20">
        <f t="shared" si="8"/>
        <v>1</v>
      </c>
      <c r="W18" s="20">
        <f t="shared" si="8"/>
        <v>1</v>
      </c>
      <c r="X18" s="20">
        <f t="shared" si="8"/>
        <v>1</v>
      </c>
      <c r="Y18" s="20">
        <f t="shared" si="8"/>
        <v>1</v>
      </c>
      <c r="Z18" s="20">
        <f t="shared" si="8"/>
        <v>1</v>
      </c>
      <c r="AA18" s="20">
        <f t="shared" si="8"/>
        <v>1</v>
      </c>
      <c r="AB18" s="20">
        <f t="shared" si="8"/>
        <v>1</v>
      </c>
      <c r="AC18" s="20">
        <f t="shared" si="8"/>
        <v>1</v>
      </c>
      <c r="AD18" s="20">
        <f t="shared" si="8"/>
        <v>1</v>
      </c>
      <c r="AE18" s="20">
        <f t="shared" si="8"/>
        <v>1</v>
      </c>
      <c r="AF18" s="20">
        <f t="shared" si="8"/>
        <v>1</v>
      </c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21"/>
      <c r="AV18" s="21"/>
      <c r="AW18" s="21"/>
      <c r="AX18" s="21"/>
      <c r="AY18" s="21"/>
      <c r="AZ18" s="21"/>
      <c r="BA18" s="21"/>
      <c r="BB18" s="21"/>
      <c r="BC18" s="21"/>
      <c r="BM18" s="17"/>
      <c r="BN18" s="17"/>
      <c r="BO18" s="19"/>
    </row>
    <row r="19" spans="1:67" ht="11.25" customHeight="1">
      <c r="A19" s="29" t="s">
        <v>6</v>
      </c>
      <c r="B19" s="64">
        <v>0.38</v>
      </c>
      <c r="D19" s="22"/>
      <c r="E19" s="15"/>
      <c r="F19" s="5" t="s">
        <v>15</v>
      </c>
      <c r="G19" s="20">
        <f t="shared" ref="G19:AF19" si="9">IF(G8&lt;$B$17,0,$B$18*$B$16)</f>
        <v>0</v>
      </c>
      <c r="H19" s="20">
        <f t="shared" si="9"/>
        <v>0</v>
      </c>
      <c r="I19" s="20">
        <f t="shared" si="9"/>
        <v>0</v>
      </c>
      <c r="J19" s="20">
        <f t="shared" si="9"/>
        <v>0</v>
      </c>
      <c r="K19" s="20">
        <f t="shared" si="9"/>
        <v>0</v>
      </c>
      <c r="L19" s="20">
        <f t="shared" si="9"/>
        <v>0</v>
      </c>
      <c r="M19" s="20">
        <f t="shared" si="9"/>
        <v>0</v>
      </c>
      <c r="N19" s="20">
        <f t="shared" si="9"/>
        <v>0</v>
      </c>
      <c r="O19" s="20">
        <f t="shared" si="9"/>
        <v>0</v>
      </c>
      <c r="P19" s="20">
        <f t="shared" si="9"/>
        <v>0</v>
      </c>
      <c r="Q19" s="20">
        <f t="shared" si="9"/>
        <v>0</v>
      </c>
      <c r="R19" s="20">
        <f t="shared" si="9"/>
        <v>0</v>
      </c>
      <c r="S19" s="20">
        <f t="shared" si="9"/>
        <v>0</v>
      </c>
      <c r="T19" s="20">
        <f t="shared" si="9"/>
        <v>0</v>
      </c>
      <c r="U19" s="20">
        <f t="shared" si="9"/>
        <v>0</v>
      </c>
      <c r="V19" s="20">
        <f t="shared" si="9"/>
        <v>0</v>
      </c>
      <c r="W19" s="20">
        <f t="shared" si="9"/>
        <v>0</v>
      </c>
      <c r="X19" s="20">
        <f t="shared" si="9"/>
        <v>0</v>
      </c>
      <c r="Y19" s="20">
        <f t="shared" si="9"/>
        <v>0</v>
      </c>
      <c r="Z19" s="20">
        <f t="shared" si="9"/>
        <v>0</v>
      </c>
      <c r="AA19" s="20">
        <f t="shared" si="9"/>
        <v>0</v>
      </c>
      <c r="AB19" s="20">
        <f t="shared" si="9"/>
        <v>0</v>
      </c>
      <c r="AC19" s="20">
        <f t="shared" si="9"/>
        <v>0</v>
      </c>
      <c r="AD19" s="20">
        <f t="shared" si="9"/>
        <v>0</v>
      </c>
      <c r="AE19" s="20">
        <f t="shared" si="9"/>
        <v>0</v>
      </c>
      <c r="AF19" s="20">
        <f t="shared" si="9"/>
        <v>0</v>
      </c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9"/>
      <c r="AV19" s="19"/>
      <c r="AW19" s="19"/>
      <c r="AX19" s="19"/>
      <c r="AY19" s="19"/>
      <c r="AZ19" s="19"/>
      <c r="BA19" s="19"/>
      <c r="BB19" s="19"/>
      <c r="BC19" s="19"/>
      <c r="BM19" s="18"/>
      <c r="BN19" s="18"/>
    </row>
    <row r="20" spans="1:67" ht="11.25" customHeight="1">
      <c r="E20" s="15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9"/>
      <c r="AV20" s="19"/>
      <c r="AW20" s="19"/>
      <c r="AX20" s="19"/>
      <c r="AY20" s="19"/>
      <c r="AZ20" s="19"/>
      <c r="BA20" s="19"/>
      <c r="BB20" s="19"/>
      <c r="BC20" s="19"/>
      <c r="BM20" s="18"/>
      <c r="BN20" s="18"/>
    </row>
    <row r="21" spans="1:67" ht="11.25" hidden="1" customHeight="1"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9"/>
      <c r="AV21" s="19"/>
      <c r="AW21" s="19"/>
      <c r="AX21" s="19"/>
      <c r="AY21" s="19"/>
      <c r="AZ21" s="19"/>
      <c r="BA21" s="19"/>
      <c r="BB21" s="19"/>
      <c r="BC21" s="19"/>
      <c r="BL21" s="17"/>
      <c r="BM21" s="19"/>
      <c r="BN21" s="19"/>
    </row>
    <row r="22" spans="1:67" ht="11.25" hidden="1" customHeight="1">
      <c r="E22" s="15"/>
      <c r="AU22" s="19"/>
      <c r="AV22" s="19"/>
      <c r="AW22" s="19"/>
      <c r="AX22" s="19"/>
      <c r="AY22" s="19"/>
      <c r="AZ22" s="19"/>
      <c r="BA22" s="19"/>
      <c r="BB22" s="19"/>
      <c r="BC22" s="19"/>
      <c r="BL22" s="18"/>
      <c r="BM22" s="17"/>
      <c r="BN22" s="19"/>
    </row>
    <row r="23" spans="1:67" ht="11.25" hidden="1" customHeight="1">
      <c r="E23" s="15"/>
      <c r="G23" s="23"/>
      <c r="AU23" s="18"/>
      <c r="AV23" s="18"/>
      <c r="AW23" s="18"/>
      <c r="AX23" s="18"/>
      <c r="AY23" s="18"/>
      <c r="AZ23" s="18"/>
      <c r="BA23" s="18"/>
      <c r="BB23" s="18"/>
      <c r="BC23" s="18"/>
      <c r="BL23" s="18"/>
      <c r="BM23" s="18"/>
      <c r="BO23" s="18"/>
    </row>
    <row r="24" spans="1:67" ht="11.25" hidden="1" customHeight="1">
      <c r="A24" s="24" t="s">
        <v>19</v>
      </c>
      <c r="B24" s="25">
        <v>10000000000</v>
      </c>
      <c r="C24" s="26" t="s">
        <v>20</v>
      </c>
      <c r="E24" s="15"/>
      <c r="G24" s="27"/>
      <c r="AU24" s="18"/>
      <c r="AV24" s="18"/>
      <c r="AW24" s="18"/>
      <c r="AX24" s="18"/>
      <c r="AY24" s="18"/>
      <c r="AZ24" s="18"/>
      <c r="BA24" s="18"/>
      <c r="BB24" s="18"/>
      <c r="BC24" s="18"/>
      <c r="BK24" s="18"/>
      <c r="BL24" s="28"/>
      <c r="BM24" s="19"/>
      <c r="BO24" s="19"/>
    </row>
    <row r="25" spans="1:67" ht="11.25" hidden="1" customHeight="1">
      <c r="E25" s="15"/>
      <c r="BK25" s="18"/>
      <c r="BL25" s="17"/>
      <c r="BM25" s="19"/>
      <c r="BO25" s="19"/>
    </row>
    <row r="26" spans="1:67" ht="11.25" customHeight="1">
      <c r="A26" s="29" t="s">
        <v>26</v>
      </c>
      <c r="B26" s="10">
        <f>G2006</f>
        <v>3.3520499580171285E-3</v>
      </c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J26" s="17"/>
      <c r="BK26" s="19"/>
      <c r="BL26" s="18"/>
      <c r="BN26" s="18"/>
    </row>
    <row r="27" spans="1:67" ht="11.25" customHeight="1">
      <c r="A27" s="3" t="s">
        <v>24</v>
      </c>
      <c r="B27" s="65">
        <v>1</v>
      </c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J27" s="18"/>
      <c r="BK27" s="28"/>
      <c r="BL27" s="18"/>
      <c r="BN27" s="18"/>
    </row>
    <row r="28" spans="1:67" ht="11.25" customHeight="1" thickBot="1">
      <c r="A28" s="76" t="s">
        <v>25</v>
      </c>
      <c r="B28" s="31">
        <f>B26*B27</f>
        <v>3.3520499580171285E-3</v>
      </c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J28" s="18"/>
      <c r="BL28" s="19"/>
      <c r="BN28" s="19"/>
    </row>
    <row r="29" spans="1:67" ht="11.25" customHeight="1" thickTop="1"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I29" s="17"/>
      <c r="BJ29" s="19"/>
      <c r="BK29" s="17"/>
      <c r="BL29" s="19"/>
      <c r="BN29" s="19"/>
    </row>
    <row r="30" spans="1:67" ht="11.25" customHeight="1"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I30" s="18"/>
      <c r="BJ30" s="28"/>
      <c r="BK30" s="18"/>
      <c r="BM30" s="18"/>
      <c r="BO30" s="18"/>
    </row>
    <row r="31" spans="1:67" ht="11.25" customHeight="1">
      <c r="A31" s="68" t="s">
        <v>11</v>
      </c>
      <c r="B31" s="55"/>
      <c r="C31" s="55"/>
      <c r="D31" s="55"/>
      <c r="E31" s="7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I31" s="18"/>
      <c r="BK31" s="18"/>
      <c r="BM31" s="18"/>
      <c r="BO31" s="18"/>
    </row>
    <row r="32" spans="1:67" ht="11.25" customHeight="1">
      <c r="A32" s="55" t="s">
        <v>12</v>
      </c>
      <c r="B32" s="55"/>
      <c r="C32" s="54"/>
      <c r="D32" s="55"/>
      <c r="E32" s="7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H32" s="17"/>
      <c r="BI32" s="19"/>
      <c r="BK32" s="19"/>
      <c r="BM32" s="19"/>
      <c r="BO32" s="19"/>
    </row>
    <row r="33" spans="1:67" ht="11.25" customHeight="1">
      <c r="A33" s="55" t="s">
        <v>13</v>
      </c>
      <c r="B33" s="55"/>
      <c r="C33" s="55"/>
      <c r="D33" s="55"/>
      <c r="E33" s="7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H33" s="18"/>
      <c r="BI33" s="28"/>
      <c r="BJ33" s="17"/>
      <c r="BK33" s="19"/>
      <c r="BM33" s="19"/>
      <c r="BO33" s="19"/>
    </row>
    <row r="34" spans="1:67" ht="11.25" customHeight="1">
      <c r="A34" s="55" t="s">
        <v>14</v>
      </c>
      <c r="B34" s="55"/>
      <c r="C34" s="69"/>
      <c r="D34" s="55"/>
      <c r="E34" s="7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H34" s="18"/>
      <c r="BJ34" s="18"/>
      <c r="BL34" s="18"/>
      <c r="BN34" s="18"/>
    </row>
    <row r="35" spans="1:67" ht="11.25" customHeight="1">
      <c r="A35" s="55" t="s">
        <v>22</v>
      </c>
      <c r="B35" s="70">
        <v>2000</v>
      </c>
      <c r="C35" s="58"/>
      <c r="D35" s="54"/>
      <c r="E35" s="7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H35" s="18"/>
      <c r="BJ35" s="18"/>
      <c r="BL35" s="18"/>
      <c r="BN35" s="18"/>
    </row>
    <row r="36" spans="1:67" ht="11.25" customHeight="1">
      <c r="A36" s="55" t="s">
        <v>23</v>
      </c>
      <c r="B36" s="71"/>
      <c r="C36" s="70" t="str">
        <f>CONCATENATE("G",B35+6," in the Name Box.")</f>
        <v>G2006 in the Name Box.</v>
      </c>
      <c r="D36" s="54"/>
      <c r="E36" s="7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H36" s="18"/>
      <c r="BJ36" s="18"/>
      <c r="BL36" s="18"/>
      <c r="BN36" s="18"/>
    </row>
    <row r="37" spans="1:67" ht="11.25" customHeight="1">
      <c r="A37" s="5"/>
      <c r="B37" s="34"/>
      <c r="C37" s="35"/>
      <c r="BG37" s="17"/>
      <c r="BH37" s="19"/>
      <c r="BJ37" s="18"/>
      <c r="BL37" s="18"/>
      <c r="BN37" s="18"/>
    </row>
    <row r="38" spans="1:67" ht="11.25" customHeight="1">
      <c r="A38" s="5"/>
      <c r="B38" s="36"/>
      <c r="C38" s="15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G38" s="18"/>
      <c r="BH38" s="28"/>
      <c r="BI38" s="18"/>
      <c r="BJ38" s="19"/>
      <c r="BL38" s="19"/>
      <c r="BN38" s="19"/>
    </row>
    <row r="39" spans="1:67" ht="11.25" customHeight="1">
      <c r="A39" s="5"/>
      <c r="B39" s="34"/>
      <c r="C39" s="15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G39" s="18"/>
      <c r="BI39" s="17"/>
      <c r="BJ39" s="19"/>
      <c r="BL39" s="19"/>
      <c r="BN39" s="19"/>
    </row>
    <row r="40" spans="1:67" ht="11.25" customHeight="1">
      <c r="A40" s="5"/>
      <c r="B40" s="34"/>
      <c r="C40" s="15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F40" s="17"/>
      <c r="BG40" s="19"/>
      <c r="BI40" s="18"/>
      <c r="BK40" s="18"/>
      <c r="BM40" s="18"/>
      <c r="BO40" s="18"/>
    </row>
    <row r="41" spans="1:67" ht="11.25" customHeight="1">
      <c r="A41" s="5"/>
      <c r="B41" s="34"/>
      <c r="C41" s="15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F41" s="18"/>
      <c r="BG41" s="28"/>
      <c r="BH41" s="18"/>
      <c r="BI41" s="18"/>
      <c r="BK41" s="18"/>
      <c r="BM41" s="18"/>
      <c r="BO41" s="18"/>
    </row>
    <row r="42" spans="1:67" ht="11.25" customHeight="1">
      <c r="A42" s="5"/>
      <c r="B42" s="37"/>
      <c r="C42" s="15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F42" s="18"/>
      <c r="BH42" s="18"/>
      <c r="BI42" s="19"/>
      <c r="BK42" s="19"/>
      <c r="BM42" s="19"/>
      <c r="BO42" s="19"/>
    </row>
    <row r="43" spans="1:67" ht="11.25" customHeight="1">
      <c r="A43" s="5"/>
      <c r="B43" s="14"/>
      <c r="C43" s="35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E43" s="17"/>
      <c r="BF43" s="19"/>
      <c r="BH43" s="17"/>
      <c r="BI43" s="19"/>
      <c r="BK43" s="19"/>
      <c r="BM43" s="19"/>
      <c r="BO43" s="19"/>
    </row>
    <row r="44" spans="1:67" ht="11.25" customHeight="1">
      <c r="B44" s="38"/>
      <c r="C44" s="39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E44" s="18"/>
      <c r="BF44" s="28"/>
      <c r="BG44" s="18"/>
      <c r="BH44" s="18"/>
      <c r="BJ44" s="18"/>
      <c r="BL44" s="18"/>
      <c r="BN44" s="18"/>
    </row>
    <row r="45" spans="1:67" ht="11.25" customHeight="1">
      <c r="B45" s="1"/>
      <c r="D45" s="1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E45" s="18"/>
      <c r="BG45" s="18"/>
      <c r="BH45" s="18"/>
      <c r="BJ45" s="18"/>
      <c r="BL45" s="18"/>
      <c r="BN45" s="18"/>
    </row>
    <row r="46" spans="1:67" ht="11.25" customHeight="1">
      <c r="D46" s="1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7"/>
      <c r="BE46" s="19"/>
      <c r="BG46" s="19"/>
      <c r="BH46" s="19"/>
      <c r="BJ46" s="19"/>
      <c r="BL46" s="19"/>
      <c r="BN46" s="19"/>
    </row>
    <row r="47" spans="1:67" ht="11.25" customHeight="1">
      <c r="A47" s="40"/>
      <c r="B47" s="41"/>
      <c r="C47" s="40"/>
      <c r="D47" s="40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7"/>
      <c r="BE47" s="19"/>
      <c r="BG47" s="19"/>
      <c r="BH47" s="19"/>
      <c r="BJ47" s="19"/>
      <c r="BL47" s="19"/>
      <c r="BN47" s="19"/>
    </row>
    <row r="48" spans="1:67" ht="11.25" customHeight="1">
      <c r="A48" s="40"/>
      <c r="B48" s="42"/>
      <c r="C48" s="40"/>
      <c r="D48" s="40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7"/>
      <c r="BE48" s="19"/>
      <c r="BG48" s="19"/>
      <c r="BH48" s="19"/>
      <c r="BJ48" s="19"/>
      <c r="BL48" s="19"/>
      <c r="BN48" s="19"/>
    </row>
    <row r="49" spans="1:67" ht="11.25" customHeight="1">
      <c r="A49" s="40"/>
      <c r="B49" s="41"/>
      <c r="C49" s="40"/>
      <c r="D49" s="40"/>
      <c r="BD49" s="18"/>
      <c r="BE49" s="28"/>
      <c r="BF49" s="18"/>
      <c r="BG49" s="17"/>
      <c r="BH49" s="19"/>
      <c r="BJ49" s="19"/>
      <c r="BL49" s="19"/>
      <c r="BN49" s="19"/>
    </row>
    <row r="50" spans="1:67" ht="11.25" customHeight="1">
      <c r="F50" s="24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F50" s="18"/>
      <c r="BG50" s="18"/>
      <c r="BI50" s="18"/>
      <c r="BK50" s="18"/>
      <c r="BM50" s="18"/>
      <c r="BO50" s="18"/>
    </row>
    <row r="51" spans="1:67" ht="11.25" customHeight="1">
      <c r="F51" s="24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19"/>
      <c r="BF51" s="19"/>
      <c r="BG51" s="18"/>
      <c r="BI51" s="18"/>
      <c r="BK51" s="18"/>
      <c r="BM51" s="18"/>
      <c r="BO51" s="18"/>
    </row>
    <row r="52" spans="1:67" ht="11.25" customHeight="1">
      <c r="F52" s="24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28"/>
      <c r="BE52" s="18"/>
      <c r="BF52" s="28"/>
      <c r="BG52" s="19"/>
      <c r="BI52" s="19"/>
      <c r="BK52" s="19"/>
      <c r="BM52" s="19"/>
      <c r="BO52" s="19"/>
    </row>
    <row r="53" spans="1:67" ht="11.25" customHeight="1">
      <c r="F53" s="24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E53" s="18"/>
      <c r="BF53" s="17"/>
      <c r="BG53" s="19"/>
      <c r="BI53" s="19"/>
      <c r="BK53" s="19"/>
      <c r="BM53" s="19"/>
      <c r="BO53" s="19"/>
    </row>
    <row r="54" spans="1:67" ht="11.25" customHeight="1">
      <c r="F54" s="24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E54" s="19"/>
      <c r="BF54" s="18"/>
      <c r="BH54" s="18"/>
      <c r="BJ54" s="18"/>
      <c r="BL54" s="18"/>
      <c r="BN54" s="18"/>
    </row>
    <row r="55" spans="1:67" ht="11.25" customHeight="1">
      <c r="F55" s="24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8"/>
      <c r="BE55" s="28"/>
      <c r="BF55" s="18"/>
      <c r="BH55" s="18"/>
      <c r="BJ55" s="18"/>
      <c r="BL55" s="18"/>
      <c r="BN55" s="18"/>
    </row>
    <row r="56" spans="1:67" ht="11.25" customHeight="1">
      <c r="F56" s="24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F56" s="19"/>
      <c r="BH56" s="19"/>
      <c r="BJ56" s="19"/>
      <c r="BL56" s="19"/>
      <c r="BN56" s="19"/>
    </row>
    <row r="57" spans="1:67" ht="11.25" customHeight="1">
      <c r="F57" s="24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7"/>
      <c r="BF57" s="19"/>
      <c r="BH57" s="19"/>
      <c r="BJ57" s="19"/>
      <c r="BL57" s="19"/>
      <c r="BN57" s="19"/>
    </row>
    <row r="58" spans="1:67" ht="11.25" customHeight="1">
      <c r="F58" s="24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28"/>
      <c r="BE58" s="18"/>
      <c r="BG58" s="18"/>
      <c r="BI58" s="18"/>
      <c r="BK58" s="18"/>
      <c r="BM58" s="18"/>
      <c r="BO58" s="18"/>
    </row>
    <row r="59" spans="1:67" ht="11.25" customHeight="1"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BE59" s="18"/>
      <c r="BG59" s="18"/>
      <c r="BI59" s="18"/>
      <c r="BK59" s="18"/>
      <c r="BM59" s="18"/>
      <c r="BO59" s="18"/>
    </row>
    <row r="60" spans="1:67" ht="11.25" customHeight="1">
      <c r="F60" s="24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E60" s="19"/>
      <c r="BG60" s="19"/>
      <c r="BI60" s="19"/>
      <c r="BK60" s="19"/>
      <c r="BM60" s="19"/>
      <c r="BO60" s="19"/>
    </row>
    <row r="61" spans="1:67" ht="11.25" customHeight="1">
      <c r="F61" s="24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17"/>
      <c r="BE61" s="19"/>
      <c r="BG61" s="19"/>
      <c r="BI61" s="19"/>
      <c r="BK61" s="19"/>
      <c r="BM61" s="19"/>
      <c r="BO61" s="19"/>
    </row>
    <row r="62" spans="1:67" ht="11.25" customHeight="1">
      <c r="F62" s="24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8"/>
      <c r="BF62" s="18"/>
      <c r="BH62" s="18"/>
      <c r="BJ62" s="18"/>
      <c r="BL62" s="18"/>
      <c r="BN62" s="18"/>
    </row>
    <row r="63" spans="1:67" ht="11.25" customHeight="1">
      <c r="F63" s="2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8"/>
      <c r="BF63" s="18"/>
      <c r="BH63" s="18"/>
      <c r="BJ63" s="18"/>
      <c r="BL63" s="18"/>
      <c r="BN63" s="18"/>
    </row>
    <row r="64" spans="1:67" ht="11.25" customHeight="1">
      <c r="F64" s="24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F64" s="19"/>
      <c r="BH64" s="19"/>
      <c r="BJ64" s="19"/>
      <c r="BL64" s="19"/>
      <c r="BN64" s="19"/>
    </row>
    <row r="65" spans="6:67" ht="11.25" customHeight="1">
      <c r="F65" s="24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F65" s="19"/>
      <c r="BH65" s="19"/>
      <c r="BJ65" s="19"/>
      <c r="BL65" s="19"/>
      <c r="BN65" s="19"/>
    </row>
    <row r="66" spans="6:67" ht="11.25" customHeight="1">
      <c r="F66" s="24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E66" s="18"/>
      <c r="BG66" s="18"/>
      <c r="BI66" s="18"/>
      <c r="BK66" s="18"/>
      <c r="BM66" s="18"/>
      <c r="BO66" s="18"/>
    </row>
    <row r="67" spans="6:67" ht="11.25" customHeight="1">
      <c r="F67" s="24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E67" s="18"/>
      <c r="BG67" s="18"/>
      <c r="BI67" s="18"/>
      <c r="BK67" s="18"/>
      <c r="BM67" s="18"/>
      <c r="BO67" s="18"/>
    </row>
    <row r="68" spans="6:67" ht="11.25" customHeight="1">
      <c r="F68" s="24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E68" s="19"/>
      <c r="BG68" s="19"/>
      <c r="BI68" s="19"/>
      <c r="BK68" s="19"/>
      <c r="BM68" s="19"/>
      <c r="BO68" s="19"/>
    </row>
    <row r="69" spans="6:67" ht="11.25" customHeight="1"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BE69" s="19"/>
      <c r="BG69" s="19"/>
      <c r="BI69" s="19"/>
      <c r="BK69" s="19"/>
      <c r="BM69" s="19"/>
      <c r="BO69" s="19"/>
    </row>
    <row r="70" spans="6:67" ht="11.25" customHeight="1">
      <c r="F70" s="24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F70" s="18"/>
      <c r="BH70" s="18"/>
      <c r="BJ70" s="18"/>
      <c r="BL70" s="18"/>
      <c r="BN70" s="18"/>
    </row>
    <row r="71" spans="6:67" ht="11.25" customHeight="1">
      <c r="F71" s="24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18"/>
      <c r="BF71" s="18"/>
      <c r="BH71" s="18"/>
      <c r="BJ71" s="18"/>
      <c r="BL71" s="18"/>
      <c r="BN71" s="18"/>
    </row>
    <row r="72" spans="6:67" ht="11.25" customHeight="1">
      <c r="F72" s="24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F72" s="19"/>
      <c r="BH72" s="19"/>
      <c r="BJ72" s="19"/>
      <c r="BL72" s="19"/>
      <c r="BN72" s="19"/>
    </row>
    <row r="73" spans="6:67" ht="11.25" customHeight="1">
      <c r="F73" s="24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F73" s="19"/>
      <c r="BH73" s="19"/>
      <c r="BJ73" s="19"/>
      <c r="BL73" s="19"/>
      <c r="BN73" s="19"/>
    </row>
    <row r="74" spans="6:67" ht="11.25" customHeight="1">
      <c r="F74" s="24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E74" s="18"/>
      <c r="BG74" s="18"/>
      <c r="BI74" s="18"/>
      <c r="BK74" s="18"/>
      <c r="BM74" s="18"/>
      <c r="BO74" s="18"/>
    </row>
    <row r="75" spans="6:67" ht="11.25" customHeight="1">
      <c r="F75" s="24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E75" s="18"/>
      <c r="BG75" s="18"/>
      <c r="BI75" s="18"/>
      <c r="BK75" s="18"/>
      <c r="BM75" s="18"/>
      <c r="BO75" s="18"/>
    </row>
    <row r="76" spans="6:67" ht="11.25" customHeight="1">
      <c r="F76" s="24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E76" s="19"/>
      <c r="BG76" s="19"/>
      <c r="BI76" s="19"/>
      <c r="BK76" s="19"/>
      <c r="BM76" s="19"/>
      <c r="BO76" s="19"/>
    </row>
    <row r="77" spans="6:67" ht="11.25" customHeight="1">
      <c r="F77" s="24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E77" s="19"/>
      <c r="BG77" s="19"/>
      <c r="BI77" s="19"/>
      <c r="BK77" s="19"/>
      <c r="BM77" s="19"/>
      <c r="BO77" s="19"/>
    </row>
    <row r="78" spans="6:67" ht="11.25" customHeight="1">
      <c r="F78" s="24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F78" s="18"/>
      <c r="BH78" s="18"/>
      <c r="BJ78" s="18"/>
      <c r="BL78" s="18"/>
      <c r="BN78" s="18"/>
    </row>
    <row r="79" spans="6:67" ht="11.25" customHeight="1"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BD79" s="18"/>
      <c r="BF79" s="18"/>
      <c r="BH79" s="18"/>
      <c r="BJ79" s="18"/>
      <c r="BL79" s="18"/>
      <c r="BN79" s="18"/>
    </row>
    <row r="80" spans="6:67" ht="11.25" customHeight="1"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9"/>
      <c r="BF80" s="19"/>
      <c r="BH80" s="19"/>
      <c r="BJ80" s="19"/>
      <c r="BL80" s="19"/>
      <c r="BN80" s="19"/>
    </row>
    <row r="81" spans="1:67" ht="11.25" customHeight="1"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19"/>
      <c r="BF81" s="19"/>
      <c r="BH81" s="19"/>
      <c r="BJ81" s="19"/>
      <c r="BL81" s="19"/>
      <c r="BN81" s="19"/>
    </row>
    <row r="82" spans="1:67" ht="11.25" customHeight="1"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E82" s="18"/>
      <c r="BG82" s="18"/>
      <c r="BI82" s="18"/>
      <c r="BK82" s="18"/>
      <c r="BM82" s="18"/>
      <c r="BO82" s="18"/>
    </row>
    <row r="83" spans="1:67" ht="11.25" customHeight="1"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E83" s="18"/>
      <c r="BG83" s="18"/>
      <c r="BI83" s="18"/>
      <c r="BK83" s="18"/>
      <c r="BM83" s="18"/>
      <c r="BO83" s="18"/>
    </row>
    <row r="84" spans="1:67" ht="11.25" customHeight="1"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E84" s="19"/>
      <c r="BG84" s="19"/>
      <c r="BI84" s="19"/>
      <c r="BK84" s="19"/>
      <c r="BM84" s="19"/>
      <c r="BO84" s="19"/>
    </row>
    <row r="85" spans="1:67" ht="11.25" customHeight="1">
      <c r="A85" s="43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E85" s="19"/>
      <c r="BG85" s="19"/>
      <c r="BI85" s="19"/>
      <c r="BK85" s="19"/>
      <c r="BM85" s="19"/>
      <c r="BO85" s="19"/>
    </row>
    <row r="86" spans="1:67" ht="11.25" customHeight="1">
      <c r="C86" s="8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F86" s="18"/>
      <c r="BH86" s="18"/>
      <c r="BJ86" s="18"/>
      <c r="BL86" s="18"/>
      <c r="BN86" s="18"/>
    </row>
    <row r="87" spans="1:67" ht="11.25" customHeight="1">
      <c r="C87" s="8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8"/>
      <c r="BF87" s="18"/>
      <c r="BH87" s="18"/>
      <c r="BJ87" s="18"/>
      <c r="BL87" s="18"/>
      <c r="BN87" s="18"/>
    </row>
    <row r="88" spans="1:67" ht="11.25" customHeight="1">
      <c r="C88" s="4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9"/>
      <c r="BF88" s="19"/>
      <c r="BH88" s="19"/>
      <c r="BJ88" s="19"/>
      <c r="BL88" s="19"/>
      <c r="BN88" s="19"/>
    </row>
    <row r="89" spans="1:67" ht="11.25" customHeight="1"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BD89" s="19"/>
      <c r="BF89" s="19"/>
      <c r="BH89" s="19"/>
      <c r="BJ89" s="19"/>
      <c r="BL89" s="19"/>
      <c r="BN89" s="19"/>
    </row>
    <row r="90" spans="1:67" ht="11.25" customHeight="1"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E90" s="18"/>
      <c r="BG90" s="18"/>
      <c r="BI90" s="18"/>
      <c r="BK90" s="18"/>
      <c r="BM90" s="18"/>
      <c r="BO90" s="18"/>
    </row>
    <row r="91" spans="1:67" ht="11.25" customHeight="1"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E91" s="18"/>
      <c r="BG91" s="18"/>
      <c r="BI91" s="18"/>
      <c r="BK91" s="18"/>
      <c r="BM91" s="18"/>
      <c r="BO91" s="18"/>
    </row>
    <row r="92" spans="1:67" ht="11.25" customHeight="1"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E92" s="19"/>
      <c r="BG92" s="19"/>
      <c r="BI92" s="19"/>
      <c r="BK92" s="19"/>
      <c r="BM92" s="19"/>
      <c r="BO92" s="19"/>
    </row>
    <row r="93" spans="1:67" ht="11.25" customHeight="1"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E93" s="19"/>
      <c r="BG93" s="19"/>
      <c r="BI93" s="19"/>
      <c r="BK93" s="19"/>
      <c r="BM93" s="19"/>
      <c r="BO93" s="19"/>
    </row>
    <row r="94" spans="1:67" ht="11.25" customHeight="1"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8"/>
      <c r="BF94" s="18"/>
      <c r="BH94" s="18"/>
      <c r="BJ94" s="18"/>
      <c r="BL94" s="18"/>
      <c r="BN94" s="18"/>
    </row>
    <row r="95" spans="1:67" ht="11.25" customHeight="1"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8"/>
      <c r="BF95" s="18"/>
      <c r="BH95" s="18"/>
      <c r="BJ95" s="18"/>
      <c r="BL95" s="18"/>
      <c r="BN95" s="18"/>
    </row>
    <row r="96" spans="1:67" ht="11.25" customHeight="1"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9"/>
      <c r="BF96" s="19"/>
      <c r="BH96" s="19"/>
      <c r="BJ96" s="19"/>
      <c r="BL96" s="19"/>
      <c r="BN96" s="19"/>
    </row>
    <row r="97" spans="13:67" ht="11.25" customHeight="1"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F97" s="19"/>
      <c r="BH97" s="19"/>
      <c r="BJ97" s="19"/>
      <c r="BL97" s="19"/>
      <c r="BN97" s="19"/>
    </row>
    <row r="98" spans="13:67" ht="11.25" customHeight="1"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E98" s="18"/>
      <c r="BG98" s="18"/>
      <c r="BI98" s="18"/>
      <c r="BK98" s="18"/>
      <c r="BM98" s="18"/>
      <c r="BO98" s="18"/>
    </row>
    <row r="99" spans="13:67" ht="11.25" customHeight="1"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BE99" s="18"/>
      <c r="BG99" s="18"/>
      <c r="BI99" s="18"/>
      <c r="BK99" s="18"/>
      <c r="BM99" s="18"/>
      <c r="BO99" s="18"/>
    </row>
    <row r="100" spans="13:67" ht="11.25" customHeight="1"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E100" s="19"/>
      <c r="BG100" s="19"/>
      <c r="BI100" s="19"/>
      <c r="BK100" s="19"/>
      <c r="BM100" s="19"/>
      <c r="BO100" s="19"/>
    </row>
    <row r="101" spans="13:67" ht="11.25" customHeight="1"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E101" s="19"/>
      <c r="BG101" s="19"/>
      <c r="BI101" s="19"/>
      <c r="BK101" s="19"/>
      <c r="BM101" s="19"/>
      <c r="BO101" s="19"/>
    </row>
    <row r="102" spans="13:67" ht="11.25" customHeight="1"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8"/>
      <c r="BF102" s="18"/>
      <c r="BH102" s="18"/>
      <c r="BJ102" s="18"/>
      <c r="BL102" s="18"/>
      <c r="BN102" s="18"/>
    </row>
    <row r="103" spans="13:67" ht="11.25" customHeight="1"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8"/>
      <c r="BF103" s="18"/>
      <c r="BH103" s="18"/>
      <c r="BJ103" s="18"/>
      <c r="BL103" s="18"/>
      <c r="BN103" s="18"/>
    </row>
    <row r="104" spans="13:67" ht="11.25" customHeight="1"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F104" s="19"/>
      <c r="BH104" s="19"/>
      <c r="BJ104" s="19"/>
      <c r="BL104" s="19"/>
      <c r="BN104" s="19"/>
    </row>
    <row r="105" spans="13:67" ht="11.25" customHeight="1"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F105" s="19"/>
      <c r="BH105" s="19"/>
      <c r="BJ105" s="19"/>
      <c r="BL105" s="19"/>
      <c r="BN105" s="19"/>
    </row>
    <row r="106" spans="13:67" ht="11.25" customHeight="1"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E106" s="18"/>
      <c r="BG106" s="18"/>
      <c r="BI106" s="18"/>
      <c r="BK106" s="18"/>
      <c r="BM106" s="18"/>
      <c r="BO106" s="18"/>
    </row>
    <row r="107" spans="13:67" ht="11.25" customHeight="1"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E107" s="18"/>
      <c r="BG107" s="18"/>
      <c r="BI107" s="18"/>
      <c r="BK107" s="18"/>
      <c r="BM107" s="18"/>
      <c r="BO107" s="18"/>
    </row>
    <row r="108" spans="13:67" ht="11.25" customHeight="1"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E108" s="19"/>
      <c r="BG108" s="19"/>
      <c r="BI108" s="19"/>
      <c r="BK108" s="19"/>
      <c r="BM108" s="19"/>
      <c r="BO108" s="19"/>
    </row>
    <row r="109" spans="13:67" ht="11.25" customHeight="1">
      <c r="BE109" s="19"/>
      <c r="BG109" s="19"/>
      <c r="BI109" s="19"/>
      <c r="BK109" s="19"/>
      <c r="BM109" s="19"/>
      <c r="BO109" s="19"/>
    </row>
    <row r="110" spans="13:67" ht="11.25" customHeight="1"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F110" s="18"/>
      <c r="BH110" s="18"/>
      <c r="BJ110" s="18"/>
      <c r="BL110" s="18"/>
      <c r="BN110" s="18"/>
    </row>
    <row r="111" spans="13:67" ht="11.25" customHeight="1"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18"/>
      <c r="BF111" s="18"/>
      <c r="BH111" s="18"/>
      <c r="BJ111" s="18"/>
      <c r="BL111" s="18"/>
      <c r="BN111" s="18"/>
    </row>
    <row r="112" spans="13:67" ht="11.25" customHeight="1"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F112" s="19"/>
      <c r="BH112" s="19"/>
      <c r="BJ112" s="19"/>
      <c r="BL112" s="19"/>
      <c r="BN112" s="19"/>
    </row>
    <row r="113" spans="14:67" ht="11.25" customHeight="1"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F113" s="19"/>
      <c r="BH113" s="19"/>
      <c r="BJ113" s="19"/>
      <c r="BL113" s="19"/>
      <c r="BN113" s="19"/>
    </row>
    <row r="114" spans="14:67" ht="11.25" customHeight="1"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E114" s="18"/>
      <c r="BG114" s="18"/>
      <c r="BI114" s="18"/>
      <c r="BK114" s="18"/>
      <c r="BM114" s="18"/>
      <c r="BO114" s="18"/>
    </row>
    <row r="115" spans="14:67" ht="11.25" customHeight="1"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E115" s="18"/>
      <c r="BG115" s="18"/>
      <c r="BI115" s="18"/>
      <c r="BK115" s="18"/>
      <c r="BM115" s="18"/>
      <c r="BO115" s="18"/>
    </row>
    <row r="116" spans="14:67" ht="11.25" customHeight="1"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E116" s="19"/>
      <c r="BG116" s="19"/>
      <c r="BI116" s="19"/>
      <c r="BK116" s="19"/>
      <c r="BM116" s="19"/>
      <c r="BO116" s="19"/>
    </row>
    <row r="117" spans="14:67" ht="11.25" customHeight="1"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E117" s="19"/>
      <c r="BG117" s="19"/>
      <c r="BI117" s="19"/>
      <c r="BK117" s="19"/>
      <c r="BM117" s="19"/>
      <c r="BO117" s="19"/>
    </row>
    <row r="118" spans="14:67" ht="11.25" customHeight="1"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F118" s="18"/>
      <c r="BH118" s="18"/>
      <c r="BJ118" s="18"/>
      <c r="BL118" s="18"/>
      <c r="BN118" s="18"/>
    </row>
    <row r="119" spans="14:67" ht="11.25" customHeight="1"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BD119" s="18"/>
      <c r="BF119" s="18"/>
      <c r="BH119" s="18"/>
      <c r="BJ119" s="18"/>
      <c r="BL119" s="18"/>
      <c r="BN119" s="18"/>
    </row>
    <row r="120" spans="14:67" ht="11.25" customHeight="1"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9"/>
      <c r="BF120" s="19"/>
      <c r="BH120" s="19"/>
      <c r="BJ120" s="19"/>
      <c r="BL120" s="19"/>
      <c r="BN120" s="19"/>
    </row>
    <row r="121" spans="14:67" ht="11.25" customHeight="1"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19"/>
      <c r="BF121" s="19"/>
      <c r="BH121" s="19"/>
      <c r="BJ121" s="19"/>
      <c r="BL121" s="19"/>
      <c r="BN121" s="19"/>
    </row>
    <row r="122" spans="14:67" ht="11.25" customHeight="1">
      <c r="O122" s="30"/>
      <c r="P122" s="30"/>
      <c r="Q122" s="30"/>
      <c r="R122" s="30"/>
      <c r="S122" s="30"/>
      <c r="T122" s="30"/>
      <c r="U122" s="30"/>
      <c r="V122" s="30"/>
      <c r="W122" s="30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E122" s="18"/>
      <c r="BG122" s="18"/>
      <c r="BI122" s="18"/>
      <c r="BK122" s="18"/>
      <c r="BM122" s="18"/>
      <c r="BO122" s="18"/>
    </row>
    <row r="123" spans="14:67" ht="11.25" customHeight="1">
      <c r="O123" s="21"/>
      <c r="P123" s="21"/>
      <c r="Q123" s="21"/>
      <c r="R123" s="21"/>
      <c r="S123" s="21"/>
      <c r="T123" s="21"/>
      <c r="U123" s="21"/>
      <c r="V123" s="21"/>
      <c r="W123" s="21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E123" s="18"/>
      <c r="BG123" s="18"/>
      <c r="BI123" s="18"/>
      <c r="BK123" s="18"/>
      <c r="BM123" s="18"/>
      <c r="BO123" s="18"/>
    </row>
    <row r="124" spans="14:67" ht="11.25" customHeight="1">
      <c r="O124" s="23"/>
      <c r="P124" s="23"/>
      <c r="Q124" s="23"/>
      <c r="R124" s="23"/>
      <c r="S124" s="23"/>
      <c r="T124" s="23"/>
      <c r="U124" s="23"/>
      <c r="V124" s="23"/>
      <c r="W124" s="23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E124" s="19"/>
      <c r="BG124" s="19"/>
      <c r="BI124" s="19"/>
      <c r="BK124" s="19"/>
      <c r="BM124" s="19"/>
      <c r="BO124" s="19"/>
    </row>
    <row r="125" spans="14:67" ht="11.25" customHeight="1">
      <c r="O125" s="32"/>
      <c r="P125" s="32"/>
      <c r="Q125" s="32"/>
      <c r="R125" s="32"/>
      <c r="S125" s="32"/>
      <c r="T125" s="32"/>
      <c r="U125" s="32"/>
      <c r="V125" s="32"/>
      <c r="W125" s="32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E125" s="19"/>
      <c r="BG125" s="19"/>
      <c r="BI125" s="19"/>
      <c r="BK125" s="19"/>
      <c r="BM125" s="19"/>
      <c r="BO125" s="19"/>
    </row>
    <row r="126" spans="14:67" ht="11.25" customHeight="1">
      <c r="O126" s="23"/>
      <c r="P126" s="23"/>
      <c r="Q126" s="23"/>
      <c r="R126" s="23"/>
      <c r="S126" s="23"/>
      <c r="T126" s="23"/>
      <c r="U126" s="23"/>
      <c r="V126" s="23"/>
      <c r="W126" s="23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F126" s="18"/>
      <c r="BH126" s="18"/>
      <c r="BJ126" s="18"/>
      <c r="BL126" s="18"/>
      <c r="BN126" s="18"/>
    </row>
    <row r="127" spans="14:67" ht="11.25" customHeight="1">
      <c r="O127" s="23"/>
      <c r="P127" s="23"/>
      <c r="Q127" s="23"/>
      <c r="R127" s="23"/>
      <c r="S127" s="23"/>
      <c r="T127" s="23"/>
      <c r="U127" s="23"/>
      <c r="V127" s="23"/>
      <c r="W127" s="23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8"/>
      <c r="BF127" s="18"/>
      <c r="BH127" s="18"/>
      <c r="BJ127" s="18"/>
      <c r="BL127" s="18"/>
      <c r="BN127" s="18"/>
    </row>
    <row r="128" spans="14:67" ht="11.25" customHeight="1">
      <c r="O128" s="23"/>
      <c r="P128" s="23"/>
      <c r="Q128" s="23"/>
      <c r="R128" s="23"/>
      <c r="S128" s="23"/>
      <c r="T128" s="23"/>
      <c r="U128" s="23"/>
      <c r="V128" s="23"/>
      <c r="W128" s="23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9"/>
      <c r="BF128" s="19"/>
      <c r="BH128" s="19"/>
      <c r="BJ128" s="19"/>
      <c r="BL128" s="19"/>
      <c r="BN128" s="19"/>
    </row>
    <row r="129" spans="15:67" ht="11.25" customHeight="1">
      <c r="O129" s="32"/>
      <c r="P129" s="32"/>
      <c r="Q129" s="32"/>
      <c r="R129" s="32"/>
      <c r="S129" s="32"/>
      <c r="T129" s="32"/>
      <c r="U129" s="32"/>
      <c r="V129" s="32"/>
      <c r="W129" s="32"/>
      <c r="BD129" s="19"/>
      <c r="BF129" s="19"/>
      <c r="BH129" s="19"/>
      <c r="BJ129" s="19"/>
      <c r="BL129" s="19"/>
      <c r="BN129" s="19"/>
    </row>
    <row r="130" spans="15:67" ht="11.25" customHeight="1">
      <c r="O130" s="23"/>
      <c r="P130" s="23"/>
      <c r="Q130" s="23"/>
      <c r="R130" s="23"/>
      <c r="S130" s="23"/>
      <c r="T130" s="23"/>
      <c r="U130" s="23"/>
      <c r="V130" s="23"/>
      <c r="W130" s="23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E130" s="18"/>
      <c r="BG130" s="18"/>
      <c r="BI130" s="18"/>
      <c r="BK130" s="18"/>
      <c r="BM130" s="18"/>
      <c r="BO130" s="18"/>
    </row>
    <row r="131" spans="15:67" ht="11.25" customHeight="1">
      <c r="O131" s="23"/>
      <c r="P131" s="23"/>
      <c r="Q131" s="23"/>
      <c r="R131" s="23"/>
      <c r="S131" s="23"/>
      <c r="T131" s="23"/>
      <c r="U131" s="23"/>
      <c r="V131" s="23"/>
      <c r="W131" s="23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E131" s="18"/>
      <c r="BG131" s="18"/>
      <c r="BI131" s="18"/>
      <c r="BK131" s="18"/>
      <c r="BM131" s="18"/>
      <c r="BO131" s="18"/>
    </row>
    <row r="132" spans="15:67" ht="11.25" customHeight="1">
      <c r="O132" s="33"/>
      <c r="P132" s="33"/>
      <c r="Q132" s="33"/>
      <c r="R132" s="33"/>
      <c r="S132" s="33"/>
      <c r="T132" s="33"/>
      <c r="U132" s="33"/>
      <c r="V132" s="33"/>
      <c r="W132" s="33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E132" s="19"/>
      <c r="BG132" s="19"/>
      <c r="BI132" s="19"/>
      <c r="BK132" s="19"/>
      <c r="BM132" s="19"/>
      <c r="BO132" s="19"/>
    </row>
    <row r="133" spans="15:67" ht="11.25" customHeight="1"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E133" s="19"/>
      <c r="BG133" s="19"/>
      <c r="BI133" s="19"/>
      <c r="BK133" s="19"/>
      <c r="BM133" s="19"/>
      <c r="BO133" s="19"/>
    </row>
    <row r="134" spans="15:67" ht="11.25" customHeight="1">
      <c r="P134" s="30"/>
      <c r="Q134" s="30"/>
      <c r="R134" s="30"/>
      <c r="S134" s="30"/>
      <c r="T134" s="30"/>
      <c r="U134" s="30"/>
      <c r="V134" s="30"/>
      <c r="W134" s="30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8"/>
      <c r="BF134" s="18"/>
      <c r="BH134" s="18"/>
      <c r="BJ134" s="18"/>
      <c r="BL134" s="18"/>
      <c r="BN134" s="18"/>
    </row>
    <row r="135" spans="15:67" ht="11.25" customHeight="1">
      <c r="P135" s="21"/>
      <c r="Q135" s="21"/>
      <c r="R135" s="21"/>
      <c r="S135" s="21"/>
      <c r="T135" s="21"/>
      <c r="U135" s="21"/>
      <c r="V135" s="21"/>
      <c r="W135" s="21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8"/>
      <c r="BF135" s="18"/>
      <c r="BH135" s="18"/>
      <c r="BJ135" s="18"/>
      <c r="BL135" s="18"/>
      <c r="BN135" s="18"/>
    </row>
    <row r="136" spans="15:67" ht="11.25" customHeight="1">
      <c r="P136" s="23"/>
      <c r="Q136" s="23"/>
      <c r="R136" s="23"/>
      <c r="S136" s="23"/>
      <c r="T136" s="23"/>
      <c r="U136" s="23"/>
      <c r="V136" s="23"/>
      <c r="W136" s="23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9"/>
      <c r="BF136" s="19"/>
      <c r="BH136" s="19"/>
      <c r="BJ136" s="19"/>
      <c r="BL136" s="19"/>
      <c r="BN136" s="19"/>
    </row>
    <row r="137" spans="15:67" ht="11.25" customHeight="1">
      <c r="P137" s="32"/>
      <c r="Q137" s="32"/>
      <c r="R137" s="32"/>
      <c r="S137" s="32"/>
      <c r="T137" s="32"/>
      <c r="U137" s="32"/>
      <c r="V137" s="32"/>
      <c r="W137" s="32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F137" s="19"/>
      <c r="BH137" s="19"/>
      <c r="BJ137" s="19"/>
      <c r="BL137" s="19"/>
      <c r="BN137" s="19"/>
    </row>
    <row r="138" spans="15:67" ht="11.25" customHeight="1">
      <c r="P138" s="23"/>
      <c r="Q138" s="23"/>
      <c r="R138" s="23"/>
      <c r="S138" s="23"/>
      <c r="T138" s="23"/>
      <c r="U138" s="23"/>
      <c r="V138" s="23"/>
      <c r="W138" s="23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E138" s="18"/>
      <c r="BG138" s="18"/>
      <c r="BI138" s="18"/>
      <c r="BK138" s="18"/>
      <c r="BM138" s="18"/>
      <c r="BO138" s="18"/>
    </row>
    <row r="139" spans="15:67" ht="11.25" customHeight="1">
      <c r="P139" s="23"/>
      <c r="Q139" s="23"/>
      <c r="R139" s="23"/>
      <c r="S139" s="23"/>
      <c r="T139" s="23"/>
      <c r="U139" s="23"/>
      <c r="V139" s="23"/>
      <c r="W139" s="23"/>
      <c r="BE139" s="18"/>
      <c r="BG139" s="18"/>
      <c r="BI139" s="18"/>
      <c r="BK139" s="18"/>
      <c r="BM139" s="18"/>
      <c r="BO139" s="18"/>
    </row>
    <row r="140" spans="15:67" ht="11.25" customHeight="1">
      <c r="P140" s="23"/>
      <c r="Q140" s="23"/>
      <c r="R140" s="23"/>
      <c r="S140" s="23"/>
      <c r="T140" s="23"/>
      <c r="U140" s="23"/>
      <c r="V140" s="23"/>
      <c r="W140" s="23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E140" s="19"/>
      <c r="BG140" s="19"/>
      <c r="BI140" s="19"/>
      <c r="BK140" s="19"/>
      <c r="BM140" s="19"/>
      <c r="BO140" s="19"/>
    </row>
    <row r="141" spans="15:67" ht="11.25" customHeight="1">
      <c r="P141" s="32"/>
      <c r="Q141" s="32"/>
      <c r="R141" s="32"/>
      <c r="S141" s="32"/>
      <c r="T141" s="32"/>
      <c r="U141" s="32"/>
      <c r="V141" s="32"/>
      <c r="W141" s="32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E141" s="19"/>
      <c r="BG141" s="19"/>
      <c r="BI141" s="19"/>
      <c r="BK141" s="19"/>
      <c r="BM141" s="19"/>
      <c r="BO141" s="19"/>
    </row>
    <row r="142" spans="15:67" ht="11.25" customHeight="1">
      <c r="P142" s="23"/>
      <c r="Q142" s="23"/>
      <c r="R142" s="23"/>
      <c r="S142" s="23"/>
      <c r="T142" s="23"/>
      <c r="U142" s="23"/>
      <c r="V142" s="23"/>
      <c r="W142" s="23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8"/>
      <c r="BF142" s="18"/>
      <c r="BH142" s="18"/>
      <c r="BJ142" s="18"/>
      <c r="BL142" s="18"/>
      <c r="BN142" s="18"/>
    </row>
    <row r="143" spans="15:67" ht="11.25" customHeight="1">
      <c r="P143" s="23"/>
      <c r="Q143" s="23"/>
      <c r="R143" s="23"/>
      <c r="S143" s="23"/>
      <c r="T143" s="23"/>
      <c r="U143" s="23"/>
      <c r="V143" s="23"/>
      <c r="W143" s="23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8"/>
      <c r="BF143" s="18"/>
      <c r="BH143" s="18"/>
      <c r="BJ143" s="18"/>
      <c r="BL143" s="18"/>
      <c r="BN143" s="18"/>
    </row>
    <row r="144" spans="15:67" ht="11.25" customHeight="1">
      <c r="P144" s="33"/>
      <c r="Q144" s="33"/>
      <c r="R144" s="33"/>
      <c r="S144" s="33"/>
      <c r="T144" s="33"/>
      <c r="U144" s="33"/>
      <c r="V144" s="33"/>
      <c r="W144" s="33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F144" s="19"/>
      <c r="BH144" s="19"/>
      <c r="BJ144" s="19"/>
      <c r="BL144" s="19"/>
      <c r="BN144" s="19"/>
    </row>
    <row r="145" spans="17:67" ht="11.25" customHeight="1"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F145" s="19"/>
      <c r="BH145" s="19"/>
      <c r="BJ145" s="19"/>
      <c r="BL145" s="19"/>
      <c r="BN145" s="19"/>
    </row>
    <row r="146" spans="17:67" ht="11.25" customHeight="1">
      <c r="Q146" s="30"/>
      <c r="R146" s="30"/>
      <c r="S146" s="30"/>
      <c r="T146" s="30"/>
      <c r="U146" s="30"/>
      <c r="V146" s="30"/>
      <c r="W146" s="30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E146" s="18"/>
      <c r="BG146" s="18"/>
      <c r="BI146" s="18"/>
      <c r="BK146" s="18"/>
      <c r="BM146" s="18"/>
      <c r="BO146" s="18"/>
    </row>
    <row r="147" spans="17:67" ht="11.25" customHeight="1">
      <c r="Q147" s="21"/>
      <c r="R147" s="21"/>
      <c r="S147" s="21"/>
      <c r="T147" s="21"/>
      <c r="U147" s="21"/>
      <c r="V147" s="21"/>
      <c r="W147" s="21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E147" s="18"/>
      <c r="BG147" s="18"/>
      <c r="BI147" s="18"/>
      <c r="BK147" s="18"/>
      <c r="BM147" s="18"/>
      <c r="BO147" s="18"/>
    </row>
    <row r="148" spans="17:67" ht="11.25" customHeight="1">
      <c r="Q148" s="23"/>
      <c r="R148" s="23"/>
      <c r="S148" s="23"/>
      <c r="T148" s="23"/>
      <c r="U148" s="23"/>
      <c r="V148" s="23"/>
      <c r="W148" s="23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E148" s="19"/>
      <c r="BG148" s="19"/>
      <c r="BI148" s="19"/>
      <c r="BK148" s="19"/>
      <c r="BM148" s="19"/>
      <c r="BO148" s="19"/>
    </row>
    <row r="149" spans="17:67" ht="11.25" customHeight="1">
      <c r="Q149" s="32"/>
      <c r="R149" s="32"/>
      <c r="S149" s="32"/>
      <c r="T149" s="32"/>
      <c r="U149" s="32"/>
      <c r="V149" s="32"/>
      <c r="W149" s="32"/>
      <c r="BE149" s="19"/>
      <c r="BG149" s="19"/>
      <c r="BI149" s="19"/>
      <c r="BK149" s="19"/>
      <c r="BM149" s="19"/>
      <c r="BO149" s="19"/>
    </row>
    <row r="150" spans="17:67" ht="11.25" customHeight="1">
      <c r="Q150" s="23"/>
      <c r="R150" s="23"/>
      <c r="S150" s="23"/>
      <c r="T150" s="23"/>
      <c r="U150" s="23"/>
      <c r="V150" s="23"/>
      <c r="W150" s="23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F150" s="18"/>
      <c r="BH150" s="18"/>
      <c r="BJ150" s="18"/>
      <c r="BL150" s="18"/>
      <c r="BN150" s="18"/>
    </row>
    <row r="151" spans="17:67" ht="11.25" customHeight="1">
      <c r="Q151" s="23"/>
      <c r="R151" s="23"/>
      <c r="S151" s="23"/>
      <c r="T151" s="23"/>
      <c r="U151" s="23"/>
      <c r="V151" s="23"/>
      <c r="W151" s="23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18"/>
      <c r="BF151" s="18"/>
      <c r="BH151" s="18"/>
      <c r="BJ151" s="18"/>
      <c r="BL151" s="18"/>
      <c r="BN151" s="18"/>
    </row>
    <row r="152" spans="17:67" ht="11.25" customHeight="1">
      <c r="Q152" s="23"/>
      <c r="R152" s="23"/>
      <c r="S152" s="23"/>
      <c r="T152" s="23"/>
      <c r="U152" s="23"/>
      <c r="V152" s="23"/>
      <c r="W152" s="23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F152" s="19"/>
      <c r="BH152" s="19"/>
      <c r="BJ152" s="19"/>
      <c r="BL152" s="19"/>
      <c r="BN152" s="19"/>
    </row>
    <row r="153" spans="17:67" ht="11.25" customHeight="1">
      <c r="Q153" s="32"/>
      <c r="R153" s="32"/>
      <c r="S153" s="32"/>
      <c r="T153" s="32"/>
      <c r="U153" s="32"/>
      <c r="V153" s="32"/>
      <c r="W153" s="32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F153" s="19"/>
      <c r="BH153" s="19"/>
      <c r="BJ153" s="19"/>
      <c r="BL153" s="19"/>
      <c r="BN153" s="19"/>
    </row>
    <row r="154" spans="17:67" ht="11.25" customHeight="1">
      <c r="Q154" s="23"/>
      <c r="R154" s="23"/>
      <c r="S154" s="23"/>
      <c r="T154" s="23"/>
      <c r="U154" s="23"/>
      <c r="V154" s="23"/>
      <c r="W154" s="23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E154" s="18"/>
      <c r="BG154" s="18"/>
      <c r="BI154" s="18"/>
      <c r="BK154" s="18"/>
      <c r="BM154" s="18"/>
      <c r="BO154" s="18"/>
    </row>
    <row r="155" spans="17:67" ht="11.25" customHeight="1">
      <c r="Q155" s="23"/>
      <c r="R155" s="23"/>
      <c r="S155" s="23"/>
      <c r="T155" s="23"/>
      <c r="U155" s="23"/>
      <c r="V155" s="23"/>
      <c r="W155" s="23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E155" s="18"/>
      <c r="BG155" s="18"/>
      <c r="BI155" s="18"/>
      <c r="BK155" s="18"/>
      <c r="BM155" s="18"/>
      <c r="BO155" s="18"/>
    </row>
    <row r="156" spans="17:67" ht="11.25" customHeight="1">
      <c r="Q156" s="33"/>
      <c r="R156" s="33"/>
      <c r="S156" s="33"/>
      <c r="T156" s="33"/>
      <c r="U156" s="33"/>
      <c r="V156" s="33"/>
      <c r="W156" s="33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E156" s="19"/>
      <c r="BG156" s="19"/>
      <c r="BI156" s="19"/>
      <c r="BK156" s="19"/>
      <c r="BM156" s="19"/>
      <c r="BO156" s="19"/>
    </row>
    <row r="157" spans="17:67" ht="11.25" customHeight="1"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E157" s="19"/>
      <c r="BG157" s="19"/>
      <c r="BI157" s="19"/>
      <c r="BK157" s="19"/>
      <c r="BM157" s="19"/>
      <c r="BO157" s="19"/>
    </row>
    <row r="158" spans="17:67" ht="11.25" customHeight="1">
      <c r="R158" s="30"/>
      <c r="S158" s="30"/>
      <c r="T158" s="30"/>
      <c r="U158" s="30"/>
      <c r="V158" s="30"/>
      <c r="W158" s="30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F158" s="18"/>
      <c r="BH158" s="18"/>
      <c r="BJ158" s="18"/>
      <c r="BL158" s="18"/>
      <c r="BN158" s="18"/>
    </row>
    <row r="159" spans="17:67" ht="11.25" customHeight="1">
      <c r="R159" s="21"/>
      <c r="S159" s="21"/>
      <c r="T159" s="21"/>
      <c r="U159" s="21"/>
      <c r="V159" s="21"/>
      <c r="W159" s="21"/>
      <c r="BD159" s="18"/>
      <c r="BF159" s="18"/>
      <c r="BH159" s="18"/>
      <c r="BJ159" s="18"/>
      <c r="BL159" s="18"/>
      <c r="BN159" s="18"/>
    </row>
    <row r="160" spans="17:67" ht="11.25" customHeight="1">
      <c r="R160" s="23"/>
      <c r="S160" s="23"/>
      <c r="T160" s="23"/>
      <c r="U160" s="23"/>
      <c r="V160" s="23"/>
      <c r="W160" s="23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9"/>
      <c r="BF160" s="19"/>
      <c r="BH160" s="19"/>
      <c r="BJ160" s="19"/>
      <c r="BL160" s="19"/>
      <c r="BN160" s="19"/>
    </row>
    <row r="161" spans="17:67" ht="11.25" customHeight="1">
      <c r="R161" s="32"/>
      <c r="S161" s="32"/>
      <c r="T161" s="32"/>
      <c r="U161" s="32"/>
      <c r="V161" s="32"/>
      <c r="W161" s="32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19"/>
      <c r="BF161" s="19"/>
      <c r="BH161" s="19"/>
      <c r="BJ161" s="19"/>
      <c r="BL161" s="19"/>
      <c r="BN161" s="19"/>
    </row>
    <row r="162" spans="17:67" ht="11.25" customHeight="1">
      <c r="R162" s="23"/>
      <c r="S162" s="23"/>
      <c r="T162" s="23"/>
      <c r="U162" s="23"/>
      <c r="V162" s="23"/>
      <c r="W162" s="23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E162" s="18"/>
      <c r="BG162" s="18"/>
      <c r="BI162" s="18"/>
      <c r="BK162" s="18"/>
      <c r="BM162" s="18"/>
      <c r="BO162" s="18"/>
    </row>
    <row r="163" spans="17:67" ht="11.25" customHeight="1">
      <c r="R163" s="23"/>
      <c r="S163" s="23"/>
      <c r="T163" s="23"/>
      <c r="U163" s="23"/>
      <c r="V163" s="23"/>
      <c r="W163" s="23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E163" s="18"/>
      <c r="BG163" s="18"/>
      <c r="BI163" s="18"/>
      <c r="BK163" s="18"/>
      <c r="BM163" s="18"/>
      <c r="BO163" s="18"/>
    </row>
    <row r="164" spans="17:67" ht="11.25" customHeight="1">
      <c r="R164" s="23"/>
      <c r="S164" s="23"/>
      <c r="T164" s="23"/>
      <c r="U164" s="23"/>
      <c r="V164" s="23"/>
      <c r="W164" s="23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E164" s="19"/>
      <c r="BG164" s="19"/>
      <c r="BI164" s="19"/>
      <c r="BK164" s="19"/>
      <c r="BM164" s="19"/>
      <c r="BO164" s="19"/>
    </row>
    <row r="165" spans="17:67" ht="11.25" customHeight="1">
      <c r="R165" s="32"/>
      <c r="S165" s="32"/>
      <c r="T165" s="32"/>
      <c r="U165" s="32"/>
      <c r="V165" s="32"/>
      <c r="W165" s="32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E165" s="19"/>
      <c r="BG165" s="19"/>
      <c r="BI165" s="19"/>
      <c r="BK165" s="19"/>
      <c r="BM165" s="19"/>
      <c r="BO165" s="19"/>
    </row>
    <row r="166" spans="17:67" ht="11.25" customHeight="1">
      <c r="R166" s="23"/>
      <c r="S166" s="23"/>
      <c r="T166" s="23"/>
      <c r="U166" s="23"/>
      <c r="V166" s="23"/>
      <c r="W166" s="23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F166" s="18"/>
      <c r="BH166" s="18"/>
      <c r="BJ166" s="18"/>
      <c r="BL166" s="18"/>
      <c r="BN166" s="18"/>
    </row>
    <row r="167" spans="17:67" ht="11.25" customHeight="1">
      <c r="R167" s="23"/>
      <c r="S167" s="23"/>
      <c r="T167" s="23"/>
      <c r="U167" s="23"/>
      <c r="V167" s="23"/>
      <c r="W167" s="23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8"/>
      <c r="BF167" s="18"/>
      <c r="BH167" s="18"/>
      <c r="BJ167" s="18"/>
      <c r="BL167" s="18"/>
      <c r="BN167" s="18"/>
    </row>
    <row r="168" spans="17:67" ht="11.25" customHeight="1">
      <c r="R168" s="33"/>
      <c r="S168" s="33"/>
      <c r="T168" s="33"/>
      <c r="U168" s="33"/>
      <c r="V168" s="33"/>
      <c r="W168" s="33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9"/>
      <c r="BF168" s="19"/>
      <c r="BH168" s="19"/>
      <c r="BJ168" s="19"/>
      <c r="BL168" s="19"/>
      <c r="BN168" s="19"/>
    </row>
    <row r="169" spans="17:67" ht="11.25" customHeight="1">
      <c r="BD169" s="19"/>
      <c r="BF169" s="19"/>
      <c r="BH169" s="19"/>
      <c r="BJ169" s="19"/>
      <c r="BL169" s="19"/>
      <c r="BN169" s="19"/>
    </row>
    <row r="170" spans="17:67" ht="11.25" customHeight="1">
      <c r="S170" s="30"/>
      <c r="T170" s="30"/>
      <c r="U170" s="30"/>
      <c r="V170" s="30"/>
      <c r="W170" s="30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E170" s="18"/>
      <c r="BG170" s="18"/>
      <c r="BI170" s="18"/>
      <c r="BK170" s="18"/>
      <c r="BM170" s="18"/>
      <c r="BO170" s="18"/>
    </row>
    <row r="171" spans="17:67" ht="11.25" customHeight="1"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E171" s="18"/>
      <c r="BG171" s="18"/>
      <c r="BI171" s="18"/>
      <c r="BK171" s="18"/>
      <c r="BM171" s="18"/>
      <c r="BO171" s="18"/>
    </row>
    <row r="172" spans="17:67" ht="11.25" customHeight="1">
      <c r="R172" s="17"/>
      <c r="S172" s="23"/>
      <c r="T172" s="23"/>
      <c r="U172" s="23"/>
      <c r="V172" s="23"/>
      <c r="W172" s="23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E172" s="19"/>
      <c r="BG172" s="19"/>
      <c r="BI172" s="19"/>
      <c r="BK172" s="19"/>
      <c r="BM172" s="19"/>
      <c r="BO172" s="19"/>
    </row>
    <row r="173" spans="17:67" ht="11.25" customHeight="1">
      <c r="R173" s="18"/>
      <c r="S173" s="32"/>
      <c r="T173" s="32"/>
      <c r="U173" s="32"/>
      <c r="V173" s="32"/>
      <c r="W173" s="32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E173" s="19"/>
      <c r="BG173" s="19"/>
      <c r="BI173" s="19"/>
      <c r="BK173" s="19"/>
      <c r="BM173" s="19"/>
      <c r="BO173" s="19"/>
    </row>
    <row r="174" spans="17:67" ht="11.25" customHeight="1">
      <c r="R174" s="18"/>
      <c r="S174" s="23"/>
      <c r="T174" s="23"/>
      <c r="U174" s="23"/>
      <c r="V174" s="23"/>
      <c r="W174" s="23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8"/>
      <c r="BF174" s="18"/>
      <c r="BH174" s="18"/>
      <c r="BJ174" s="18"/>
      <c r="BL174" s="18"/>
      <c r="BN174" s="18"/>
    </row>
    <row r="175" spans="17:67" ht="11.25" customHeight="1">
      <c r="Q175" s="17"/>
      <c r="R175" s="19"/>
      <c r="S175" s="23"/>
      <c r="T175" s="23"/>
      <c r="U175" s="23"/>
      <c r="V175" s="23"/>
      <c r="W175" s="23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8"/>
      <c r="BF175" s="18"/>
      <c r="BH175" s="18"/>
      <c r="BJ175" s="18"/>
      <c r="BL175" s="18"/>
      <c r="BN175" s="18"/>
    </row>
    <row r="176" spans="17:67" ht="11.25" customHeight="1">
      <c r="Q176" s="18"/>
      <c r="R176" s="28"/>
      <c r="S176" s="23"/>
      <c r="T176" s="23"/>
      <c r="U176" s="23"/>
      <c r="V176" s="23"/>
      <c r="W176" s="23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9"/>
      <c r="BF176" s="19"/>
      <c r="BH176" s="19"/>
      <c r="BJ176" s="19"/>
      <c r="BL176" s="19"/>
      <c r="BN176" s="19"/>
    </row>
    <row r="177" spans="12:67" ht="11.25" customHeight="1">
      <c r="Q177" s="18"/>
      <c r="S177" s="32"/>
      <c r="T177" s="32"/>
      <c r="U177" s="32"/>
      <c r="V177" s="32"/>
      <c r="W177" s="32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F177" s="19"/>
      <c r="BH177" s="19"/>
      <c r="BJ177" s="19"/>
      <c r="BL177" s="19"/>
      <c r="BN177" s="19"/>
    </row>
    <row r="178" spans="12:67" ht="11.25" customHeight="1">
      <c r="P178" s="17"/>
      <c r="Q178" s="19"/>
      <c r="S178" s="23"/>
      <c r="T178" s="23"/>
      <c r="U178" s="23"/>
      <c r="V178" s="23"/>
      <c r="W178" s="23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E178" s="18"/>
      <c r="BG178" s="18"/>
      <c r="BI178" s="18"/>
      <c r="BK178" s="18"/>
      <c r="BM178" s="18"/>
      <c r="BO178" s="18"/>
    </row>
    <row r="179" spans="12:67" ht="11.25" customHeight="1">
      <c r="P179" s="18"/>
      <c r="Q179" s="28"/>
      <c r="R179" s="18"/>
      <c r="S179" s="23"/>
      <c r="T179" s="23"/>
      <c r="U179" s="23"/>
      <c r="V179" s="23"/>
      <c r="W179" s="23"/>
      <c r="BE179" s="18"/>
      <c r="BG179" s="18"/>
      <c r="BI179" s="18"/>
      <c r="BK179" s="18"/>
      <c r="BM179" s="18"/>
      <c r="BO179" s="18"/>
    </row>
    <row r="180" spans="12:67" ht="11.25" customHeight="1">
      <c r="P180" s="18"/>
      <c r="R180" s="18"/>
      <c r="S180" s="33"/>
      <c r="T180" s="33"/>
      <c r="U180" s="33"/>
      <c r="V180" s="33"/>
      <c r="W180" s="33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E180" s="19"/>
      <c r="BG180" s="19"/>
      <c r="BI180" s="19"/>
      <c r="BK180" s="19"/>
      <c r="BM180" s="19"/>
      <c r="BO180" s="19"/>
    </row>
    <row r="181" spans="12:67" ht="11.25" customHeight="1">
      <c r="O181" s="17"/>
      <c r="P181" s="19"/>
      <c r="R181" s="19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E181" s="19"/>
      <c r="BG181" s="19"/>
      <c r="BI181" s="19"/>
      <c r="BK181" s="19"/>
      <c r="BM181" s="19"/>
      <c r="BO181" s="19"/>
    </row>
    <row r="182" spans="12:67" ht="11.25" customHeight="1">
      <c r="O182" s="18"/>
      <c r="P182" s="28"/>
      <c r="Q182" s="18"/>
      <c r="R182" s="28"/>
      <c r="S182" s="18"/>
      <c r="T182" s="30"/>
      <c r="U182" s="30"/>
      <c r="V182" s="30"/>
      <c r="W182" s="30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8"/>
      <c r="BF182" s="18"/>
      <c r="BH182" s="18"/>
      <c r="BJ182" s="18"/>
      <c r="BL182" s="18"/>
      <c r="BN182" s="18"/>
    </row>
    <row r="183" spans="12:67" ht="11.25" customHeight="1">
      <c r="O183" s="18"/>
      <c r="Q183" s="18"/>
      <c r="S183" s="18"/>
      <c r="T183" s="21"/>
      <c r="U183" s="21"/>
      <c r="V183" s="21"/>
      <c r="W183" s="21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8"/>
      <c r="BF183" s="18"/>
      <c r="BH183" s="18"/>
      <c r="BJ183" s="18"/>
      <c r="BL183" s="18"/>
      <c r="BN183" s="18"/>
    </row>
    <row r="184" spans="12:67" ht="11.25" customHeight="1">
      <c r="N184" s="17"/>
      <c r="O184" s="19"/>
      <c r="Q184" s="19"/>
      <c r="S184" s="19"/>
      <c r="T184" s="23"/>
      <c r="U184" s="23"/>
      <c r="V184" s="23"/>
      <c r="W184" s="23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F184" s="19"/>
      <c r="BH184" s="19"/>
      <c r="BJ184" s="19"/>
      <c r="BL184" s="19"/>
      <c r="BN184" s="19"/>
    </row>
    <row r="185" spans="12:67" ht="11.25" customHeight="1">
      <c r="N185" s="18"/>
      <c r="O185" s="28"/>
      <c r="P185" s="18"/>
      <c r="Q185" s="28"/>
      <c r="R185" s="18"/>
      <c r="S185" s="28"/>
      <c r="T185" s="32"/>
      <c r="U185" s="32"/>
      <c r="V185" s="32"/>
      <c r="W185" s="32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  <c r="BF185" s="19"/>
      <c r="BH185" s="19"/>
      <c r="BJ185" s="19"/>
      <c r="BL185" s="19"/>
      <c r="BN185" s="19"/>
    </row>
    <row r="186" spans="12:67" ht="11.25" customHeight="1">
      <c r="N186" s="18"/>
      <c r="P186" s="18"/>
      <c r="R186" s="18"/>
      <c r="T186" s="23"/>
      <c r="U186" s="23"/>
      <c r="V186" s="23"/>
      <c r="W186" s="23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E186" s="18"/>
      <c r="BG186" s="18"/>
      <c r="BI186" s="18"/>
      <c r="BK186" s="18"/>
      <c r="BM186" s="18"/>
      <c r="BO186" s="18"/>
    </row>
    <row r="187" spans="12:67" ht="11.25" customHeight="1">
      <c r="M187" s="17"/>
      <c r="N187" s="19"/>
      <c r="P187" s="19"/>
      <c r="R187" s="19"/>
      <c r="T187" s="23"/>
      <c r="U187" s="23"/>
      <c r="V187" s="23"/>
      <c r="W187" s="23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E187" s="18"/>
      <c r="BG187" s="18"/>
      <c r="BI187" s="18"/>
      <c r="BK187" s="18"/>
      <c r="BM187" s="18"/>
      <c r="BO187" s="18"/>
    </row>
    <row r="188" spans="12:67" ht="11.25" customHeight="1">
      <c r="M188" s="18"/>
      <c r="N188" s="28"/>
      <c r="O188" s="18"/>
      <c r="P188" s="28"/>
      <c r="Q188" s="18"/>
      <c r="R188" s="28"/>
      <c r="S188" s="18"/>
      <c r="T188" s="23"/>
      <c r="U188" s="23"/>
      <c r="V188" s="23"/>
      <c r="W188" s="23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E188" s="19"/>
      <c r="BG188" s="19"/>
      <c r="BI188" s="19"/>
      <c r="BK188" s="19"/>
      <c r="BM188" s="19"/>
      <c r="BO188" s="19"/>
    </row>
    <row r="189" spans="12:67" ht="11.25" customHeight="1">
      <c r="M189" s="18"/>
      <c r="O189" s="18"/>
      <c r="Q189" s="18"/>
      <c r="S189" s="18"/>
      <c r="T189" s="32"/>
      <c r="U189" s="32"/>
      <c r="V189" s="32"/>
      <c r="W189" s="32"/>
      <c r="BC189" s="19"/>
      <c r="BE189" s="19"/>
      <c r="BG189" s="19"/>
      <c r="BI189" s="19"/>
      <c r="BK189" s="19"/>
      <c r="BM189" s="19"/>
      <c r="BO189" s="19"/>
    </row>
    <row r="190" spans="12:67" ht="11.25" customHeight="1">
      <c r="L190" s="17"/>
      <c r="M190" s="19"/>
      <c r="O190" s="19"/>
      <c r="Q190" s="19"/>
      <c r="S190" s="19"/>
      <c r="T190" s="23"/>
      <c r="U190" s="23"/>
      <c r="V190" s="23"/>
      <c r="W190" s="23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D190" s="18"/>
      <c r="BF190" s="18"/>
      <c r="BH190" s="18"/>
      <c r="BJ190" s="18"/>
      <c r="BL190" s="18"/>
      <c r="BN190" s="18"/>
    </row>
    <row r="191" spans="12:67" ht="11.25" customHeight="1">
      <c r="L191" s="18"/>
      <c r="M191" s="28"/>
      <c r="N191" s="18"/>
      <c r="O191" s="28"/>
      <c r="P191" s="18"/>
      <c r="Q191" s="28"/>
      <c r="R191" s="18"/>
      <c r="S191" s="28"/>
      <c r="T191" s="23"/>
      <c r="U191" s="23"/>
      <c r="V191" s="23"/>
      <c r="W191" s="23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D191" s="18"/>
      <c r="BF191" s="18"/>
      <c r="BH191" s="18"/>
      <c r="BJ191" s="18"/>
      <c r="BL191" s="18"/>
      <c r="BN191" s="18"/>
    </row>
    <row r="192" spans="12:67" ht="11.25" customHeight="1">
      <c r="L192" s="18"/>
      <c r="N192" s="18"/>
      <c r="P192" s="18"/>
      <c r="R192" s="18"/>
      <c r="T192" s="33"/>
      <c r="U192" s="33"/>
      <c r="V192" s="33"/>
      <c r="W192" s="33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D192" s="19"/>
      <c r="BF192" s="19"/>
      <c r="BH192" s="19"/>
      <c r="BJ192" s="19"/>
      <c r="BL192" s="19"/>
      <c r="BN192" s="19"/>
    </row>
    <row r="193" spans="4:67" ht="11.25" customHeight="1">
      <c r="K193" s="17"/>
      <c r="L193" s="19"/>
      <c r="N193" s="19"/>
      <c r="P193" s="19"/>
      <c r="R193" s="19"/>
      <c r="T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D193" s="19"/>
      <c r="BF193" s="19"/>
      <c r="BH193" s="19"/>
      <c r="BJ193" s="19"/>
      <c r="BL193" s="19"/>
      <c r="BN193" s="19"/>
    </row>
    <row r="194" spans="4:67" ht="11.25" customHeight="1">
      <c r="K194" s="18"/>
      <c r="L194" s="28"/>
      <c r="M194" s="18"/>
      <c r="N194" s="28"/>
      <c r="O194" s="18"/>
      <c r="P194" s="28"/>
      <c r="Q194" s="18"/>
      <c r="R194" s="28"/>
      <c r="S194" s="18"/>
      <c r="T194" s="28"/>
      <c r="U194" s="30"/>
      <c r="V194" s="30"/>
      <c r="W194" s="30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8"/>
      <c r="BE194" s="18"/>
      <c r="BG194" s="18"/>
      <c r="BI194" s="18"/>
      <c r="BK194" s="18"/>
      <c r="BM194" s="18"/>
      <c r="BO194" s="18"/>
    </row>
    <row r="195" spans="4:67" ht="11.25" customHeight="1">
      <c r="K195" s="18"/>
      <c r="M195" s="18"/>
      <c r="O195" s="18"/>
      <c r="Q195" s="18"/>
      <c r="S195" s="18"/>
      <c r="U195" s="21"/>
      <c r="V195" s="21"/>
      <c r="W195" s="21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8"/>
      <c r="BE195" s="18"/>
      <c r="BG195" s="18"/>
      <c r="BI195" s="18"/>
      <c r="BK195" s="18"/>
      <c r="BM195" s="18"/>
      <c r="BO195" s="18"/>
    </row>
    <row r="196" spans="4:67" ht="11.25" customHeight="1">
      <c r="E196" s="44"/>
      <c r="F196" s="45"/>
      <c r="J196" s="17"/>
      <c r="K196" s="19"/>
      <c r="M196" s="19"/>
      <c r="O196" s="19"/>
      <c r="Q196" s="19"/>
      <c r="S196" s="19"/>
      <c r="U196" s="23"/>
      <c r="V196" s="23"/>
      <c r="W196" s="23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9"/>
      <c r="BE196" s="19"/>
      <c r="BG196" s="19"/>
      <c r="BI196" s="19"/>
      <c r="BK196" s="19"/>
      <c r="BM196" s="19"/>
      <c r="BO196" s="19"/>
    </row>
    <row r="197" spans="4:67" ht="11.25" customHeight="1">
      <c r="F197" s="45"/>
      <c r="J197" s="18"/>
      <c r="K197" s="28"/>
      <c r="L197" s="18"/>
      <c r="M197" s="28"/>
      <c r="N197" s="18"/>
      <c r="O197" s="28"/>
      <c r="P197" s="18"/>
      <c r="Q197" s="28"/>
      <c r="R197" s="18"/>
      <c r="S197" s="28"/>
      <c r="T197" s="18"/>
      <c r="U197" s="32"/>
      <c r="V197" s="32"/>
      <c r="W197" s="32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E197" s="19"/>
      <c r="BG197" s="19"/>
      <c r="BI197" s="19"/>
      <c r="BK197" s="19"/>
      <c r="BM197" s="19"/>
      <c r="BO197" s="19"/>
    </row>
    <row r="198" spans="4:67" ht="11.25" customHeight="1">
      <c r="F198" s="19"/>
      <c r="J198" s="18"/>
      <c r="L198" s="18"/>
      <c r="N198" s="18"/>
      <c r="P198" s="18"/>
      <c r="R198" s="18"/>
      <c r="T198" s="18"/>
      <c r="U198" s="23"/>
      <c r="V198" s="23"/>
      <c r="W198" s="23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D198" s="18"/>
      <c r="BF198" s="18"/>
      <c r="BH198" s="18"/>
      <c r="BJ198" s="18"/>
      <c r="BL198" s="18"/>
      <c r="BN198" s="18"/>
    </row>
    <row r="199" spans="4:67" ht="11.25" customHeight="1">
      <c r="I199" s="17"/>
      <c r="J199" s="19"/>
      <c r="L199" s="19"/>
      <c r="N199" s="19"/>
      <c r="P199" s="19"/>
      <c r="R199" s="19"/>
      <c r="T199" s="19"/>
      <c r="U199" s="23"/>
      <c r="V199" s="23"/>
      <c r="W199" s="23"/>
      <c r="BD199" s="18"/>
      <c r="BF199" s="18"/>
      <c r="BH199" s="18"/>
      <c r="BJ199" s="18"/>
      <c r="BL199" s="18"/>
      <c r="BN199" s="18"/>
    </row>
    <row r="200" spans="4:67" ht="11.25" customHeight="1">
      <c r="I200" s="18"/>
      <c r="J200" s="28"/>
      <c r="K200" s="18"/>
      <c r="L200" s="28"/>
      <c r="M200" s="18"/>
      <c r="N200" s="28"/>
      <c r="O200" s="18"/>
      <c r="P200" s="28"/>
      <c r="Q200" s="18"/>
      <c r="R200" s="28"/>
      <c r="S200" s="18"/>
      <c r="T200" s="28"/>
      <c r="U200" s="23"/>
      <c r="V200" s="23"/>
      <c r="W200" s="23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D200" s="19"/>
      <c r="BF200" s="19"/>
      <c r="BH200" s="19"/>
      <c r="BJ200" s="19"/>
      <c r="BL200" s="19"/>
      <c r="BN200" s="19"/>
    </row>
    <row r="201" spans="4:67" ht="11.25" customHeight="1">
      <c r="I201" s="18"/>
      <c r="K201" s="18"/>
      <c r="M201" s="18"/>
      <c r="O201" s="18"/>
      <c r="Q201" s="18"/>
      <c r="S201" s="18"/>
      <c r="U201" s="32"/>
      <c r="V201" s="32"/>
      <c r="W201" s="32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D201" s="19"/>
      <c r="BF201" s="19"/>
      <c r="BH201" s="19"/>
      <c r="BJ201" s="19"/>
      <c r="BL201" s="19"/>
      <c r="BN201" s="19"/>
    </row>
    <row r="202" spans="4:67" ht="11.25" customHeight="1">
      <c r="I202" s="19"/>
      <c r="K202" s="19"/>
      <c r="M202" s="19"/>
      <c r="O202" s="19"/>
      <c r="Q202" s="19"/>
      <c r="S202" s="19"/>
      <c r="U202" s="23"/>
      <c r="V202" s="23"/>
      <c r="W202" s="23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8"/>
      <c r="BE202" s="18"/>
      <c r="BG202" s="18"/>
      <c r="BI202" s="18"/>
      <c r="BK202" s="18"/>
      <c r="BM202" s="18"/>
      <c r="BO202" s="18"/>
    </row>
    <row r="203" spans="4:67" ht="11.25" customHeight="1">
      <c r="D203" s="44"/>
      <c r="I203" s="28"/>
      <c r="J203" s="18"/>
      <c r="K203" s="28"/>
      <c r="L203" s="18"/>
      <c r="M203" s="28"/>
      <c r="N203" s="18"/>
      <c r="O203" s="28"/>
      <c r="P203" s="18"/>
      <c r="Q203" s="28"/>
      <c r="R203" s="18"/>
      <c r="S203" s="28"/>
      <c r="T203" s="18"/>
      <c r="U203" s="23"/>
      <c r="V203" s="23"/>
      <c r="W203" s="23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8"/>
      <c r="BE203" s="18"/>
      <c r="BG203" s="18"/>
      <c r="BI203" s="18"/>
      <c r="BK203" s="18"/>
      <c r="BM203" s="18"/>
      <c r="BO203" s="18"/>
    </row>
    <row r="204" spans="4:67" ht="11.25" customHeight="1">
      <c r="J204" s="18"/>
      <c r="L204" s="18"/>
      <c r="N204" s="18"/>
      <c r="P204" s="18"/>
      <c r="R204" s="18"/>
      <c r="T204" s="18"/>
      <c r="U204" s="33"/>
      <c r="V204" s="33"/>
      <c r="W204" s="33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E204" s="19"/>
      <c r="BG204" s="19"/>
      <c r="BI204" s="19"/>
      <c r="BK204" s="19"/>
      <c r="BM204" s="19"/>
      <c r="BO204" s="19"/>
    </row>
    <row r="205" spans="4:67" ht="11.25" customHeight="1">
      <c r="J205" s="19"/>
      <c r="L205" s="19"/>
      <c r="N205" s="19"/>
      <c r="P205" s="19"/>
      <c r="R205" s="19"/>
      <c r="T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E205" s="19"/>
      <c r="BG205" s="19"/>
      <c r="BI205" s="19"/>
      <c r="BK205" s="19"/>
      <c r="BM205" s="19"/>
      <c r="BO205" s="19"/>
    </row>
    <row r="206" spans="4:67" ht="11.25" customHeight="1">
      <c r="I206" s="18"/>
      <c r="J206" s="28"/>
      <c r="K206" s="18"/>
      <c r="L206" s="28"/>
      <c r="M206" s="18"/>
      <c r="N206" s="28"/>
      <c r="O206" s="18"/>
      <c r="P206" s="28"/>
      <c r="Q206" s="18"/>
      <c r="R206" s="28"/>
      <c r="S206" s="18"/>
      <c r="T206" s="28"/>
      <c r="U206" s="18"/>
      <c r="V206" s="30"/>
      <c r="W206" s="30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8"/>
      <c r="BD206" s="18"/>
      <c r="BF206" s="18"/>
      <c r="BH206" s="18"/>
      <c r="BJ206" s="18"/>
      <c r="BL206" s="18"/>
      <c r="BN206" s="18"/>
    </row>
    <row r="207" spans="4:67" ht="11.25" customHeight="1">
      <c r="I207" s="18"/>
      <c r="K207" s="18"/>
      <c r="M207" s="18"/>
      <c r="O207" s="18"/>
      <c r="Q207" s="18"/>
      <c r="S207" s="18"/>
      <c r="U207" s="18"/>
      <c r="V207" s="21"/>
      <c r="W207" s="21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D207" s="18"/>
      <c r="BF207" s="18"/>
      <c r="BH207" s="18"/>
      <c r="BJ207" s="18"/>
      <c r="BL207" s="18"/>
      <c r="BN207" s="18"/>
    </row>
    <row r="208" spans="4:67" ht="11.25" customHeight="1">
      <c r="I208" s="19"/>
      <c r="K208" s="19"/>
      <c r="M208" s="19"/>
      <c r="O208" s="19"/>
      <c r="Q208" s="19"/>
      <c r="S208" s="19"/>
      <c r="U208" s="19"/>
      <c r="V208" s="23"/>
      <c r="W208" s="23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8"/>
      <c r="BD208" s="19"/>
      <c r="BF208" s="19"/>
      <c r="BH208" s="19"/>
      <c r="BJ208" s="19"/>
      <c r="BL208" s="19"/>
      <c r="BN208" s="19"/>
    </row>
    <row r="209" spans="8:67" ht="11.25" customHeight="1">
      <c r="I209" s="28"/>
      <c r="J209" s="18"/>
      <c r="K209" s="28"/>
      <c r="L209" s="18"/>
      <c r="M209" s="28"/>
      <c r="N209" s="18"/>
      <c r="O209" s="28"/>
      <c r="P209" s="18"/>
      <c r="Q209" s="28"/>
      <c r="R209" s="18"/>
      <c r="S209" s="28"/>
      <c r="T209" s="18"/>
      <c r="U209" s="28"/>
      <c r="V209" s="32"/>
      <c r="W209" s="32"/>
      <c r="X209" s="18"/>
      <c r="BD209" s="19"/>
      <c r="BF209" s="19"/>
      <c r="BH209" s="19"/>
      <c r="BJ209" s="19"/>
      <c r="BL209" s="19"/>
      <c r="BN209" s="19"/>
    </row>
    <row r="210" spans="8:67" ht="11.25" customHeight="1">
      <c r="J210" s="18"/>
      <c r="L210" s="18"/>
      <c r="N210" s="18"/>
      <c r="P210" s="18"/>
      <c r="R210" s="18"/>
      <c r="T210" s="18"/>
      <c r="V210" s="23"/>
      <c r="W210" s="23"/>
      <c r="X210" s="19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E210" s="18"/>
      <c r="BG210" s="18"/>
      <c r="BI210" s="18"/>
      <c r="BK210" s="18"/>
      <c r="BM210" s="18"/>
      <c r="BO210" s="18"/>
    </row>
    <row r="211" spans="8:67" ht="11.25" customHeight="1">
      <c r="J211" s="19"/>
      <c r="L211" s="19"/>
      <c r="N211" s="19"/>
      <c r="P211" s="19"/>
      <c r="R211" s="19"/>
      <c r="T211" s="19"/>
      <c r="U211" s="17"/>
      <c r="V211" s="23"/>
      <c r="W211" s="23"/>
      <c r="X211" s="19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18"/>
      <c r="BE211" s="18"/>
      <c r="BG211" s="18"/>
      <c r="BI211" s="18"/>
      <c r="BK211" s="18"/>
      <c r="BM211" s="18"/>
      <c r="BO211" s="18"/>
    </row>
    <row r="212" spans="8:67" ht="11.25" customHeight="1">
      <c r="H212" s="28"/>
      <c r="I212" s="18"/>
      <c r="J212" s="28"/>
      <c r="K212" s="18"/>
      <c r="L212" s="28"/>
      <c r="M212" s="18"/>
      <c r="N212" s="28"/>
      <c r="O212" s="18"/>
      <c r="P212" s="28"/>
      <c r="Q212" s="18"/>
      <c r="R212" s="28"/>
      <c r="S212" s="18"/>
      <c r="T212" s="28"/>
      <c r="U212" s="18"/>
      <c r="V212" s="23"/>
      <c r="W212" s="23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E212" s="19"/>
      <c r="BG212" s="19"/>
      <c r="BI212" s="19"/>
      <c r="BK212" s="19"/>
      <c r="BM212" s="19"/>
      <c r="BO212" s="19"/>
    </row>
    <row r="213" spans="8:67" ht="11.25" customHeight="1">
      <c r="I213" s="18"/>
      <c r="K213" s="18"/>
      <c r="M213" s="18"/>
      <c r="O213" s="18"/>
      <c r="Q213" s="18"/>
      <c r="S213" s="18"/>
      <c r="U213" s="18"/>
      <c r="V213" s="32"/>
      <c r="W213" s="32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E213" s="19"/>
      <c r="BG213" s="19"/>
      <c r="BI213" s="19"/>
      <c r="BK213" s="19"/>
      <c r="BM213" s="19"/>
      <c r="BO213" s="19"/>
    </row>
    <row r="214" spans="8:67" ht="11.25" customHeight="1">
      <c r="I214" s="19"/>
      <c r="K214" s="19"/>
      <c r="M214" s="19"/>
      <c r="O214" s="19"/>
      <c r="Q214" s="19"/>
      <c r="S214" s="19"/>
      <c r="U214" s="19"/>
      <c r="V214" s="23"/>
      <c r="W214" s="23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D214" s="18"/>
      <c r="BF214" s="18"/>
      <c r="BH214" s="18"/>
      <c r="BJ214" s="18"/>
      <c r="BL214" s="18"/>
      <c r="BN214" s="18"/>
    </row>
    <row r="215" spans="8:67" ht="11.25" customHeight="1">
      <c r="J215" s="18"/>
      <c r="K215" s="28"/>
      <c r="L215" s="18"/>
      <c r="M215" s="28"/>
      <c r="N215" s="18"/>
      <c r="O215" s="28"/>
      <c r="P215" s="18"/>
      <c r="Q215" s="28"/>
      <c r="R215" s="18"/>
      <c r="S215" s="28"/>
      <c r="T215" s="17"/>
      <c r="U215" s="19"/>
      <c r="V215" s="23"/>
      <c r="W215" s="23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D215" s="18"/>
      <c r="BF215" s="18"/>
      <c r="BH215" s="18"/>
      <c r="BJ215" s="18"/>
      <c r="BL215" s="18"/>
      <c r="BN215" s="18"/>
    </row>
    <row r="216" spans="8:67" ht="11.25" customHeight="1">
      <c r="J216" s="18"/>
      <c r="L216" s="18"/>
      <c r="N216" s="18"/>
      <c r="P216" s="18"/>
      <c r="R216" s="18"/>
      <c r="T216" s="18"/>
      <c r="V216" s="33"/>
      <c r="W216" s="33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8"/>
      <c r="BD216" s="19"/>
      <c r="BF216" s="19"/>
      <c r="BH216" s="19"/>
      <c r="BJ216" s="19"/>
      <c r="BL216" s="19"/>
      <c r="BN216" s="19"/>
    </row>
    <row r="217" spans="8:67" ht="11.25" customHeight="1">
      <c r="J217" s="19"/>
      <c r="L217" s="19"/>
      <c r="N217" s="19"/>
      <c r="P217" s="19"/>
      <c r="R217" s="19"/>
      <c r="T217" s="18"/>
      <c r="V217" s="18"/>
      <c r="X217" s="18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D217" s="19"/>
      <c r="BF217" s="19"/>
      <c r="BH217" s="19"/>
      <c r="BJ217" s="19"/>
      <c r="BL217" s="19"/>
      <c r="BN217" s="19"/>
    </row>
    <row r="218" spans="8:67" ht="11.25" customHeight="1">
      <c r="K218" s="18"/>
      <c r="L218" s="28"/>
      <c r="M218" s="18"/>
      <c r="N218" s="28"/>
      <c r="O218" s="18"/>
      <c r="P218" s="28"/>
      <c r="Q218" s="18"/>
      <c r="R218" s="28"/>
      <c r="S218" s="18"/>
      <c r="T218" s="19"/>
      <c r="V218" s="19"/>
      <c r="W218" s="30"/>
      <c r="X218" s="19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E218" s="18"/>
      <c r="BG218" s="18"/>
      <c r="BI218" s="18"/>
      <c r="BK218" s="18"/>
      <c r="BM218" s="18"/>
      <c r="BO218" s="18"/>
    </row>
    <row r="219" spans="8:67" ht="11.25" customHeight="1">
      <c r="K219" s="18"/>
      <c r="M219" s="18"/>
      <c r="O219" s="18"/>
      <c r="Q219" s="18"/>
      <c r="S219" s="17"/>
      <c r="T219" s="19"/>
      <c r="V219" s="19"/>
      <c r="W219" s="21"/>
      <c r="X219" s="19"/>
      <c r="BC219" s="18"/>
      <c r="BE219" s="18"/>
      <c r="BG219" s="18"/>
      <c r="BI219" s="18"/>
      <c r="BK219" s="18"/>
      <c r="BM219" s="18"/>
      <c r="BO219" s="18"/>
    </row>
    <row r="220" spans="8:67" ht="11.25" customHeight="1">
      <c r="K220" s="19"/>
      <c r="M220" s="19"/>
      <c r="O220" s="19"/>
      <c r="Q220" s="19"/>
      <c r="S220" s="18"/>
      <c r="U220" s="18"/>
      <c r="W220" s="23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8"/>
      <c r="BC220" s="19"/>
      <c r="BE220" s="19"/>
      <c r="BG220" s="19"/>
      <c r="BI220" s="19"/>
      <c r="BK220" s="19"/>
      <c r="BM220" s="19"/>
      <c r="BO220" s="19"/>
    </row>
    <row r="221" spans="8:67" ht="11.25" customHeight="1">
      <c r="L221" s="18"/>
      <c r="M221" s="28"/>
      <c r="N221" s="18"/>
      <c r="O221" s="28"/>
      <c r="P221" s="18"/>
      <c r="Q221" s="28"/>
      <c r="R221" s="18"/>
      <c r="S221" s="18"/>
      <c r="U221" s="18"/>
      <c r="W221" s="32"/>
      <c r="Y221" s="18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19"/>
      <c r="BE221" s="19"/>
      <c r="BG221" s="19"/>
      <c r="BI221" s="19"/>
      <c r="BK221" s="19"/>
      <c r="BM221" s="19"/>
      <c r="BO221" s="19"/>
    </row>
    <row r="222" spans="8:67" ht="11.25" customHeight="1">
      <c r="L222" s="18"/>
      <c r="N222" s="18"/>
      <c r="P222" s="18"/>
      <c r="R222" s="18"/>
      <c r="S222" s="19"/>
      <c r="U222" s="19"/>
      <c r="W222" s="23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D222" s="18"/>
      <c r="BF222" s="18"/>
      <c r="BH222" s="18"/>
      <c r="BJ222" s="18"/>
      <c r="BL222" s="18"/>
      <c r="BN222" s="18"/>
    </row>
    <row r="223" spans="8:67" ht="11.25" customHeight="1">
      <c r="L223" s="19"/>
      <c r="N223" s="19"/>
      <c r="P223" s="19"/>
      <c r="R223" s="17"/>
      <c r="S223" s="19"/>
      <c r="U223" s="19"/>
      <c r="W223" s="23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D223" s="18"/>
      <c r="BF223" s="18"/>
      <c r="BH223" s="18"/>
      <c r="BJ223" s="18"/>
      <c r="BL223" s="18"/>
      <c r="BN223" s="18"/>
    </row>
    <row r="224" spans="8:67" ht="11.25" customHeight="1">
      <c r="L224" s="18"/>
      <c r="M224" s="18"/>
      <c r="N224" s="28"/>
      <c r="O224" s="18"/>
      <c r="P224" s="28"/>
      <c r="Q224" s="18"/>
      <c r="R224" s="18"/>
      <c r="T224" s="18"/>
      <c r="V224" s="18"/>
      <c r="W224" s="23"/>
      <c r="X224" s="18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D224" s="19"/>
      <c r="BF224" s="19"/>
      <c r="BH224" s="19"/>
      <c r="BJ224" s="19"/>
      <c r="BL224" s="19"/>
      <c r="BN224" s="19"/>
    </row>
    <row r="225" spans="4:67" ht="11.25" customHeight="1">
      <c r="L225" s="18"/>
      <c r="M225" s="18"/>
      <c r="O225" s="18"/>
      <c r="Q225" s="18"/>
      <c r="R225" s="18"/>
      <c r="T225" s="18"/>
      <c r="V225" s="18"/>
      <c r="W225" s="32"/>
      <c r="X225" s="18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D225" s="19"/>
      <c r="BF225" s="19"/>
      <c r="BH225" s="19"/>
      <c r="BJ225" s="19"/>
      <c r="BL225" s="19"/>
      <c r="BN225" s="19"/>
    </row>
    <row r="226" spans="4:67" ht="11.25" customHeight="1">
      <c r="E226" s="24"/>
      <c r="L226" s="19"/>
      <c r="M226" s="19"/>
      <c r="O226" s="19"/>
      <c r="Q226" s="19"/>
      <c r="R226" s="19"/>
      <c r="T226" s="19"/>
      <c r="V226" s="19"/>
      <c r="W226" s="23"/>
      <c r="X226" s="19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E226" s="18"/>
      <c r="BG226" s="18"/>
      <c r="BI226" s="18"/>
      <c r="BK226" s="18"/>
      <c r="BM226" s="18"/>
      <c r="BO226" s="18"/>
    </row>
    <row r="227" spans="4:67" ht="11.25" customHeight="1">
      <c r="E227" s="24"/>
      <c r="L227" s="19"/>
      <c r="N227" s="18"/>
      <c r="O227" s="28"/>
      <c r="P227" s="18"/>
      <c r="Q227" s="17"/>
      <c r="R227" s="19"/>
      <c r="T227" s="19"/>
      <c r="V227" s="19"/>
      <c r="W227" s="23"/>
      <c r="X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8"/>
      <c r="BE227" s="18"/>
      <c r="BG227" s="18"/>
      <c r="BI227" s="18"/>
      <c r="BK227" s="18"/>
      <c r="BM227" s="18"/>
      <c r="BO227" s="18"/>
    </row>
    <row r="228" spans="4:67" ht="11.25" customHeight="1">
      <c r="D228" s="24"/>
      <c r="E228" s="24"/>
      <c r="N228" s="18"/>
      <c r="P228" s="18"/>
      <c r="Q228" s="18"/>
      <c r="S228" s="18"/>
      <c r="U228" s="18"/>
      <c r="W228" s="33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9"/>
      <c r="BE228" s="19"/>
      <c r="BG228" s="19"/>
      <c r="BI228" s="19"/>
      <c r="BK228" s="19"/>
      <c r="BM228" s="19"/>
      <c r="BO228" s="19"/>
    </row>
    <row r="229" spans="4:67" ht="11.25" customHeight="1">
      <c r="D229" s="24"/>
      <c r="E229" s="24"/>
      <c r="N229" s="19"/>
      <c r="P229" s="19"/>
      <c r="Q229" s="18"/>
      <c r="S229" s="18"/>
      <c r="U229" s="18"/>
      <c r="W229" s="18"/>
      <c r="Y229" s="18"/>
      <c r="BC229" s="19"/>
      <c r="BE229" s="19"/>
      <c r="BG229" s="19"/>
      <c r="BI229" s="19"/>
      <c r="BK229" s="19"/>
      <c r="BM229" s="19"/>
      <c r="BO229" s="19"/>
    </row>
    <row r="230" spans="4:67" ht="11.25" customHeight="1">
      <c r="D230" s="24"/>
      <c r="E230" s="24"/>
      <c r="O230" s="18"/>
      <c r="P230" s="28"/>
      <c r="Q230" s="19"/>
      <c r="S230" s="19"/>
      <c r="U230" s="19"/>
      <c r="W230" s="19"/>
      <c r="Y230" s="19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D230" s="18"/>
      <c r="BF230" s="18"/>
      <c r="BH230" s="18"/>
      <c r="BJ230" s="18"/>
      <c r="BL230" s="18"/>
      <c r="BN230" s="18"/>
    </row>
    <row r="231" spans="4:67" ht="11.25" customHeight="1">
      <c r="D231" s="24"/>
      <c r="E231" s="24"/>
      <c r="O231" s="18"/>
      <c r="P231" s="17"/>
      <c r="Q231" s="19"/>
      <c r="S231" s="19"/>
      <c r="U231" s="19"/>
      <c r="W231" s="19"/>
      <c r="Y231" s="19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D231" s="18"/>
      <c r="BF231" s="18"/>
      <c r="BH231" s="18"/>
      <c r="BJ231" s="18"/>
      <c r="BL231" s="18"/>
      <c r="BN231" s="18"/>
    </row>
    <row r="232" spans="4:67" ht="11.25" customHeight="1">
      <c r="D232" s="24"/>
      <c r="E232" s="24"/>
      <c r="L232" s="18"/>
      <c r="O232" s="19"/>
      <c r="P232" s="18"/>
      <c r="R232" s="18"/>
      <c r="T232" s="18"/>
      <c r="V232" s="18"/>
      <c r="X232" s="18"/>
      <c r="Z232" s="18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D232" s="19"/>
      <c r="BF232" s="19"/>
      <c r="BH232" s="19"/>
      <c r="BJ232" s="19"/>
      <c r="BL232" s="19"/>
      <c r="BN232" s="19"/>
    </row>
    <row r="233" spans="4:67" ht="11.25" customHeight="1">
      <c r="D233" s="24"/>
      <c r="L233" s="18"/>
      <c r="P233" s="18"/>
      <c r="R233" s="18"/>
      <c r="T233" s="18"/>
      <c r="V233" s="18"/>
      <c r="X233" s="18"/>
      <c r="Z233" s="18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D233" s="19"/>
      <c r="BF233" s="19"/>
      <c r="BH233" s="19"/>
      <c r="BJ233" s="19"/>
      <c r="BL233" s="19"/>
      <c r="BN233" s="19"/>
    </row>
    <row r="234" spans="4:67" ht="11.25" customHeight="1">
      <c r="D234" s="24"/>
      <c r="L234" s="19"/>
      <c r="P234" s="19"/>
      <c r="R234" s="19"/>
      <c r="T234" s="19"/>
      <c r="V234" s="19"/>
      <c r="X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8"/>
      <c r="BE234" s="18"/>
      <c r="BG234" s="18"/>
      <c r="BI234" s="18"/>
      <c r="BK234" s="18"/>
      <c r="BM234" s="18"/>
      <c r="BO234" s="18"/>
    </row>
    <row r="235" spans="4:67" ht="11.25" customHeight="1">
      <c r="E235" s="24"/>
      <c r="L235" s="19"/>
      <c r="O235" s="17"/>
      <c r="P235" s="19"/>
      <c r="R235" s="19"/>
      <c r="T235" s="19"/>
      <c r="V235" s="19"/>
      <c r="X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8"/>
      <c r="BE235" s="18"/>
      <c r="BG235" s="18"/>
      <c r="BI235" s="18"/>
      <c r="BK235" s="18"/>
      <c r="BM235" s="18"/>
      <c r="BO235" s="18"/>
    </row>
    <row r="236" spans="4:67" ht="11.25" customHeight="1">
      <c r="E236" s="24"/>
      <c r="F236" s="24"/>
      <c r="K236" s="18"/>
      <c r="L236" s="18"/>
      <c r="O236" s="18"/>
      <c r="Q236" s="18"/>
      <c r="S236" s="18"/>
      <c r="U236" s="18"/>
      <c r="W236" s="18"/>
      <c r="Y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9"/>
      <c r="BE236" s="19"/>
      <c r="BG236" s="19"/>
      <c r="BI236" s="19"/>
      <c r="BK236" s="19"/>
      <c r="BM236" s="19"/>
      <c r="BO236" s="19"/>
    </row>
    <row r="237" spans="4:67" ht="11.25" customHeight="1">
      <c r="D237" s="24"/>
      <c r="F237" s="24"/>
      <c r="K237" s="18"/>
      <c r="L237" s="18"/>
      <c r="O237" s="18"/>
      <c r="Q237" s="18"/>
      <c r="S237" s="18"/>
      <c r="U237" s="18"/>
      <c r="W237" s="18"/>
      <c r="Y237" s="18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E237" s="19"/>
      <c r="BG237" s="19"/>
      <c r="BI237" s="19"/>
      <c r="BK237" s="19"/>
      <c r="BM237" s="19"/>
      <c r="BO237" s="19"/>
    </row>
    <row r="238" spans="4:67" ht="11.25" customHeight="1">
      <c r="D238" s="46"/>
      <c r="F238" s="24"/>
      <c r="H238" s="17"/>
      <c r="K238" s="19"/>
      <c r="L238" s="19"/>
      <c r="O238" s="19"/>
      <c r="Q238" s="19"/>
      <c r="S238" s="19"/>
      <c r="U238" s="19"/>
      <c r="W238" s="19"/>
      <c r="Y238" s="19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D238" s="18"/>
      <c r="BF238" s="18"/>
      <c r="BH238" s="18"/>
      <c r="BJ238" s="18"/>
      <c r="BL238" s="18"/>
      <c r="BN238" s="18"/>
    </row>
    <row r="239" spans="4:67" ht="11.25" customHeight="1">
      <c r="F239" s="24"/>
      <c r="H239" s="18"/>
      <c r="K239" s="19"/>
      <c r="L239" s="19"/>
      <c r="N239" s="17"/>
      <c r="O239" s="19"/>
      <c r="Q239" s="19"/>
      <c r="S239" s="19"/>
      <c r="U239" s="19"/>
      <c r="W239" s="19"/>
      <c r="Y239" s="19"/>
      <c r="AA239" s="19"/>
      <c r="BD239" s="18"/>
      <c r="BF239" s="18"/>
      <c r="BH239" s="18"/>
      <c r="BJ239" s="18"/>
      <c r="BL239" s="18"/>
      <c r="BN239" s="18"/>
    </row>
    <row r="240" spans="4:67" ht="11.25" customHeight="1">
      <c r="F240" s="24"/>
      <c r="H240" s="18"/>
      <c r="L240" s="18"/>
      <c r="N240" s="18"/>
      <c r="P240" s="18"/>
      <c r="R240" s="18"/>
      <c r="T240" s="18"/>
      <c r="V240" s="18"/>
      <c r="X240" s="18"/>
      <c r="Z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D240" s="19"/>
      <c r="BF240" s="19"/>
      <c r="BH240" s="19"/>
      <c r="BJ240" s="19"/>
      <c r="BL240" s="19"/>
      <c r="BN240" s="19"/>
    </row>
    <row r="241" spans="4:67" ht="11.25" customHeight="1">
      <c r="F241" s="24"/>
      <c r="H241" s="19"/>
      <c r="L241" s="18"/>
      <c r="N241" s="18"/>
      <c r="P241" s="18"/>
      <c r="R241" s="18"/>
      <c r="T241" s="18"/>
      <c r="V241" s="18"/>
      <c r="X241" s="18"/>
      <c r="Z241" s="18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D241" s="19"/>
      <c r="BF241" s="19"/>
      <c r="BH241" s="19"/>
      <c r="BJ241" s="19"/>
      <c r="BL241" s="19"/>
      <c r="BN241" s="19"/>
    </row>
    <row r="242" spans="4:67" ht="11.25" customHeight="1">
      <c r="F242" s="24"/>
      <c r="G242" s="47"/>
      <c r="H242" s="19"/>
      <c r="L242" s="19"/>
      <c r="N242" s="19"/>
      <c r="P242" s="19"/>
      <c r="R242" s="19"/>
      <c r="T242" s="19"/>
      <c r="V242" s="19"/>
      <c r="X242" s="19"/>
      <c r="Z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8"/>
      <c r="BE242" s="18"/>
      <c r="BG242" s="18"/>
      <c r="BI242" s="18"/>
      <c r="BK242" s="18"/>
      <c r="BM242" s="18"/>
      <c r="BO242" s="18"/>
    </row>
    <row r="243" spans="4:67" ht="11.25" customHeight="1">
      <c r="G243" s="18"/>
      <c r="L243" s="19"/>
      <c r="M243" s="17"/>
      <c r="N243" s="19"/>
      <c r="P243" s="19"/>
      <c r="R243" s="19"/>
      <c r="T243" s="19"/>
      <c r="V243" s="19"/>
      <c r="X243" s="19"/>
      <c r="Z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8"/>
      <c r="BE243" s="18"/>
      <c r="BG243" s="18"/>
      <c r="BI243" s="18"/>
      <c r="BK243" s="18"/>
      <c r="BM243" s="18"/>
      <c r="BO243" s="18"/>
    </row>
    <row r="244" spans="4:67" ht="11.25" customHeight="1">
      <c r="G244" s="18"/>
      <c r="K244" s="18"/>
      <c r="L244" s="18"/>
      <c r="M244" s="18"/>
      <c r="O244" s="18"/>
      <c r="Q244" s="18"/>
      <c r="S244" s="18"/>
      <c r="U244" s="18"/>
      <c r="W244" s="18"/>
      <c r="Y244" s="18"/>
      <c r="AA244" s="18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E244" s="19"/>
      <c r="BG244" s="19"/>
      <c r="BI244" s="19"/>
      <c r="BK244" s="19"/>
      <c r="BM244" s="19"/>
      <c r="BO244" s="19"/>
    </row>
    <row r="245" spans="4:67" ht="11.25" customHeight="1">
      <c r="F245" s="24"/>
      <c r="G245" s="19"/>
      <c r="K245" s="18"/>
      <c r="L245" s="18"/>
      <c r="M245" s="18"/>
      <c r="O245" s="18"/>
      <c r="Q245" s="18"/>
      <c r="S245" s="18"/>
      <c r="U245" s="18"/>
      <c r="W245" s="18"/>
      <c r="Y245" s="18"/>
      <c r="AA245" s="18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E245" s="19"/>
      <c r="BG245" s="19"/>
      <c r="BI245" s="19"/>
      <c r="BK245" s="19"/>
      <c r="BM245" s="19"/>
      <c r="BO245" s="19"/>
    </row>
    <row r="246" spans="4:67" ht="11.25" customHeight="1">
      <c r="F246" s="24"/>
      <c r="G246" s="19"/>
      <c r="K246" s="19"/>
      <c r="L246" s="19"/>
      <c r="M246" s="19"/>
      <c r="O246" s="19"/>
      <c r="Q246" s="19"/>
      <c r="S246" s="19"/>
      <c r="U246" s="19"/>
      <c r="W246" s="19"/>
      <c r="Y246" s="19"/>
      <c r="AA246" s="19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D246" s="18"/>
      <c r="BF246" s="18"/>
      <c r="BH246" s="18"/>
      <c r="BJ246" s="18"/>
      <c r="BL246" s="18"/>
      <c r="BN246" s="18"/>
    </row>
    <row r="247" spans="4:67" ht="11.25" customHeight="1">
      <c r="H247" s="18"/>
      <c r="K247" s="19"/>
      <c r="L247" s="17"/>
      <c r="M247" s="19"/>
      <c r="O247" s="19"/>
      <c r="Q247" s="19"/>
      <c r="S247" s="19"/>
      <c r="U247" s="19"/>
      <c r="W247" s="19"/>
      <c r="Y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9"/>
      <c r="BD247" s="18"/>
      <c r="BF247" s="18"/>
      <c r="BH247" s="18"/>
      <c r="BJ247" s="18"/>
      <c r="BL247" s="18"/>
      <c r="BN247" s="18"/>
    </row>
    <row r="248" spans="4:67" ht="11.25" customHeight="1">
      <c r="H248" s="18"/>
      <c r="J248" s="18"/>
      <c r="K248" s="18"/>
      <c r="L248" s="18"/>
      <c r="N248" s="18"/>
      <c r="P248" s="18"/>
      <c r="R248" s="18"/>
      <c r="T248" s="18"/>
      <c r="V248" s="18"/>
      <c r="X248" s="18"/>
      <c r="Z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D248" s="19"/>
      <c r="BF248" s="19"/>
      <c r="BH248" s="19"/>
      <c r="BJ248" s="19"/>
      <c r="BL248" s="19"/>
      <c r="BN248" s="19"/>
    </row>
    <row r="249" spans="4:67" ht="11.25" customHeight="1">
      <c r="H249" s="19"/>
      <c r="J249" s="18"/>
      <c r="K249" s="18"/>
      <c r="L249" s="18"/>
      <c r="N249" s="18"/>
      <c r="P249" s="18"/>
      <c r="R249" s="18"/>
      <c r="T249" s="18"/>
      <c r="V249" s="18"/>
      <c r="X249" s="18"/>
      <c r="Z249" s="18"/>
      <c r="AB249" s="18"/>
      <c r="BD249" s="19"/>
      <c r="BF249" s="19"/>
      <c r="BH249" s="19"/>
      <c r="BJ249" s="19"/>
      <c r="BL249" s="19"/>
      <c r="BN249" s="19"/>
    </row>
    <row r="250" spans="4:67" ht="11.25" customHeight="1">
      <c r="E250" s="24"/>
      <c r="H250" s="19"/>
      <c r="J250" s="19"/>
      <c r="K250" s="19"/>
      <c r="L250" s="19"/>
      <c r="N250" s="19"/>
      <c r="P250" s="19"/>
      <c r="R250" s="19"/>
      <c r="T250" s="19"/>
      <c r="V250" s="19"/>
      <c r="X250" s="19"/>
      <c r="Z250" s="19"/>
      <c r="AB250" s="19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E250" s="18"/>
      <c r="BG250" s="18"/>
      <c r="BI250" s="18"/>
      <c r="BK250" s="18"/>
      <c r="BM250" s="18"/>
      <c r="BO250" s="18"/>
    </row>
    <row r="251" spans="4:67" ht="11.25" customHeight="1">
      <c r="E251" s="24"/>
      <c r="J251" s="19"/>
      <c r="K251" s="17"/>
      <c r="L251" s="19"/>
      <c r="N251" s="19"/>
      <c r="P251" s="19"/>
      <c r="R251" s="19"/>
      <c r="T251" s="19"/>
      <c r="V251" s="19"/>
      <c r="X251" s="19"/>
      <c r="Z251" s="19"/>
      <c r="AB251" s="19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18"/>
      <c r="BE251" s="18"/>
      <c r="BG251" s="18"/>
      <c r="BI251" s="18"/>
      <c r="BK251" s="18"/>
      <c r="BM251" s="18"/>
      <c r="BO251" s="18"/>
    </row>
    <row r="252" spans="4:67" ht="11.25" customHeight="1">
      <c r="D252" s="24"/>
      <c r="E252" s="24"/>
      <c r="J252" s="18"/>
      <c r="K252" s="18"/>
      <c r="L252" s="18"/>
      <c r="M252" s="18"/>
      <c r="O252" s="18"/>
      <c r="Q252" s="18"/>
      <c r="S252" s="18"/>
      <c r="U252" s="18"/>
      <c r="W252" s="18"/>
      <c r="Y252" s="18"/>
      <c r="AA252" s="18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E252" s="19"/>
      <c r="BG252" s="19"/>
      <c r="BI252" s="19"/>
      <c r="BK252" s="19"/>
      <c r="BM252" s="19"/>
      <c r="BO252" s="19"/>
    </row>
    <row r="253" spans="4:67" ht="11.25" customHeight="1">
      <c r="D253" s="24"/>
      <c r="E253" s="24"/>
      <c r="J253" s="18"/>
      <c r="K253" s="18"/>
      <c r="L253" s="18"/>
      <c r="M253" s="18"/>
      <c r="O253" s="18"/>
      <c r="Q253" s="18"/>
      <c r="S253" s="18"/>
      <c r="U253" s="18"/>
      <c r="W253" s="18"/>
      <c r="Y253" s="18"/>
      <c r="AA253" s="18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9"/>
      <c r="BC253" s="19"/>
      <c r="BE253" s="19"/>
      <c r="BG253" s="19"/>
      <c r="BI253" s="19"/>
      <c r="BK253" s="19"/>
      <c r="BM253" s="19"/>
      <c r="BO253" s="19"/>
    </row>
    <row r="254" spans="4:67" ht="11.25" customHeight="1">
      <c r="D254" s="24"/>
      <c r="J254" s="19"/>
      <c r="K254" s="19"/>
      <c r="L254" s="19"/>
      <c r="M254" s="19"/>
      <c r="O254" s="19"/>
      <c r="Q254" s="19"/>
      <c r="S254" s="19"/>
      <c r="U254" s="19"/>
      <c r="W254" s="19"/>
      <c r="Y254" s="19"/>
      <c r="AA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D254" s="18"/>
      <c r="BF254" s="18"/>
      <c r="BH254" s="18"/>
      <c r="BJ254" s="18"/>
      <c r="BL254" s="18"/>
      <c r="BN254" s="18"/>
    </row>
    <row r="255" spans="4:67" ht="11.25" customHeight="1">
      <c r="D255" s="24"/>
      <c r="E255" s="24"/>
      <c r="J255" s="17"/>
      <c r="K255" s="19"/>
      <c r="L255" s="19"/>
      <c r="M255" s="19"/>
      <c r="O255" s="19"/>
      <c r="Q255" s="19"/>
      <c r="S255" s="19"/>
      <c r="U255" s="19"/>
      <c r="W255" s="19"/>
      <c r="Y255" s="19"/>
      <c r="AA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9"/>
      <c r="BD255" s="18"/>
      <c r="BF255" s="18"/>
      <c r="BH255" s="18"/>
      <c r="BJ255" s="18"/>
      <c r="BL255" s="18"/>
      <c r="BN255" s="18"/>
    </row>
    <row r="256" spans="4:67" ht="11.25" customHeight="1">
      <c r="D256" s="24"/>
      <c r="E256" s="24"/>
      <c r="J256" s="18"/>
      <c r="K256" s="18"/>
      <c r="L256" s="18"/>
      <c r="N256" s="18"/>
      <c r="P256" s="18"/>
      <c r="R256" s="18"/>
      <c r="T256" s="18"/>
      <c r="V256" s="18"/>
      <c r="X256" s="18"/>
      <c r="Z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D256" s="19"/>
      <c r="BF256" s="19"/>
      <c r="BH256" s="19"/>
      <c r="BJ256" s="19"/>
      <c r="BL256" s="19"/>
      <c r="BN256" s="19"/>
    </row>
    <row r="257" spans="4:67" ht="11.25" customHeight="1">
      <c r="D257" s="24"/>
      <c r="E257" s="24"/>
      <c r="J257" s="18"/>
      <c r="K257" s="18"/>
      <c r="L257" s="18"/>
      <c r="N257" s="18"/>
      <c r="P257" s="18"/>
      <c r="R257" s="18"/>
      <c r="T257" s="18"/>
      <c r="V257" s="18"/>
      <c r="X257" s="18"/>
      <c r="Z257" s="18"/>
      <c r="AB257" s="18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9"/>
      <c r="BD257" s="19"/>
      <c r="BF257" s="19"/>
      <c r="BH257" s="19"/>
      <c r="BJ257" s="19"/>
      <c r="BL257" s="19"/>
      <c r="BN257" s="19"/>
    </row>
    <row r="258" spans="4:67" ht="11.25" customHeight="1">
      <c r="D258" s="24"/>
      <c r="J258" s="19"/>
      <c r="K258" s="19"/>
      <c r="L258" s="19"/>
      <c r="N258" s="19"/>
      <c r="P258" s="19"/>
      <c r="R258" s="19"/>
      <c r="T258" s="19"/>
      <c r="V258" s="19"/>
      <c r="X258" s="19"/>
      <c r="Z258" s="19"/>
      <c r="AB258" s="19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E258" s="18"/>
      <c r="BG258" s="18"/>
      <c r="BI258" s="18"/>
      <c r="BK258" s="18"/>
      <c r="BM258" s="18"/>
      <c r="BO258" s="18"/>
    </row>
    <row r="259" spans="4:67" ht="11.25" customHeight="1">
      <c r="D259" s="24"/>
      <c r="I259" s="17"/>
      <c r="J259" s="19"/>
      <c r="K259" s="19"/>
      <c r="L259" s="19"/>
      <c r="N259" s="19"/>
      <c r="P259" s="19"/>
      <c r="R259" s="19"/>
      <c r="T259" s="19"/>
      <c r="V259" s="19"/>
      <c r="X259" s="19"/>
      <c r="Z259" s="19"/>
      <c r="AB259" s="19"/>
      <c r="BC259" s="18"/>
      <c r="BE259" s="18"/>
      <c r="BG259" s="18"/>
      <c r="BI259" s="18"/>
      <c r="BK259" s="18"/>
      <c r="BM259" s="18"/>
      <c r="BO259" s="18"/>
    </row>
    <row r="260" spans="4:67" ht="11.25" customHeight="1">
      <c r="E260" s="24"/>
      <c r="F260" s="24"/>
      <c r="I260" s="18"/>
      <c r="J260" s="18"/>
      <c r="K260" s="18"/>
      <c r="M260" s="18"/>
      <c r="O260" s="18"/>
      <c r="Q260" s="18"/>
      <c r="S260" s="18"/>
      <c r="U260" s="18"/>
      <c r="W260" s="18"/>
      <c r="Y260" s="18"/>
      <c r="AA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9"/>
      <c r="BE260" s="19"/>
      <c r="BG260" s="19"/>
      <c r="BI260" s="19"/>
      <c r="BK260" s="19"/>
      <c r="BM260" s="19"/>
      <c r="BO260" s="19"/>
    </row>
    <row r="261" spans="4:67" ht="11.25" customHeight="1">
      <c r="D261" s="24"/>
      <c r="E261" s="24"/>
      <c r="F261" s="24"/>
      <c r="I261" s="18"/>
      <c r="J261" s="18"/>
      <c r="K261" s="18"/>
      <c r="M261" s="18"/>
      <c r="O261" s="18"/>
      <c r="Q261" s="18"/>
      <c r="S261" s="18"/>
      <c r="U261" s="18"/>
      <c r="W261" s="18"/>
      <c r="Y261" s="18"/>
      <c r="AA261" s="18"/>
      <c r="AC261" s="18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19"/>
      <c r="BE261" s="19"/>
      <c r="BG261" s="19"/>
      <c r="BI261" s="19"/>
      <c r="BK261" s="19"/>
      <c r="BM261" s="19"/>
      <c r="BO261" s="19"/>
    </row>
    <row r="262" spans="4:67" ht="11.25" customHeight="1">
      <c r="D262" s="46"/>
      <c r="F262" s="24"/>
      <c r="I262" s="19"/>
      <c r="J262" s="19"/>
      <c r="K262" s="19"/>
      <c r="M262" s="19"/>
      <c r="O262" s="19"/>
      <c r="Q262" s="19"/>
      <c r="S262" s="19"/>
      <c r="U262" s="19"/>
      <c r="W262" s="19"/>
      <c r="Y262" s="19"/>
      <c r="AA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D262" s="18"/>
      <c r="BF262" s="18"/>
      <c r="BH262" s="18"/>
      <c r="BJ262" s="18"/>
      <c r="BL262" s="18"/>
      <c r="BN262" s="18"/>
    </row>
    <row r="263" spans="4:67" ht="11.25" customHeight="1">
      <c r="F263" s="24"/>
      <c r="H263" s="17"/>
      <c r="I263" s="19"/>
      <c r="J263" s="19"/>
      <c r="K263" s="19"/>
      <c r="M263" s="19"/>
      <c r="O263" s="19"/>
      <c r="Q263" s="19"/>
      <c r="S263" s="19"/>
      <c r="U263" s="19"/>
      <c r="W263" s="19"/>
      <c r="Y263" s="19"/>
      <c r="AA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9"/>
      <c r="BD263" s="18"/>
      <c r="BF263" s="18"/>
      <c r="BH263" s="18"/>
      <c r="BJ263" s="18"/>
      <c r="BL263" s="18"/>
      <c r="BN263" s="18"/>
    </row>
    <row r="264" spans="4:67" ht="11.25" customHeight="1">
      <c r="H264" s="18"/>
      <c r="I264" s="18"/>
      <c r="J264" s="18"/>
      <c r="L264" s="18"/>
      <c r="N264" s="18"/>
      <c r="P264" s="18"/>
      <c r="R264" s="18"/>
      <c r="T264" s="18"/>
      <c r="V264" s="18"/>
      <c r="X264" s="18"/>
      <c r="Z264" s="18"/>
      <c r="AB264" s="18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D264" s="19"/>
      <c r="BF264" s="19"/>
      <c r="BH264" s="19"/>
      <c r="BJ264" s="19"/>
      <c r="BL264" s="19"/>
      <c r="BN264" s="19"/>
    </row>
    <row r="265" spans="4:67" ht="11.25" customHeight="1">
      <c r="F265" s="24"/>
      <c r="H265" s="18"/>
      <c r="I265" s="18"/>
      <c r="J265" s="18"/>
      <c r="L265" s="18"/>
      <c r="N265" s="18"/>
      <c r="P265" s="18"/>
      <c r="R265" s="18"/>
      <c r="T265" s="18"/>
      <c r="V265" s="18"/>
      <c r="X265" s="18"/>
      <c r="Z265" s="18"/>
      <c r="AB265" s="18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D265" s="19"/>
      <c r="BF265" s="19"/>
      <c r="BH265" s="19"/>
      <c r="BJ265" s="19"/>
      <c r="BL265" s="19"/>
      <c r="BN265" s="19"/>
    </row>
    <row r="266" spans="4:67" ht="11.25" customHeight="1">
      <c r="F266" s="24"/>
      <c r="H266" s="19"/>
      <c r="I266" s="19"/>
      <c r="J266" s="19"/>
      <c r="L266" s="19"/>
      <c r="N266" s="19"/>
      <c r="P266" s="19"/>
      <c r="R266" s="19"/>
      <c r="T266" s="19"/>
      <c r="V266" s="19"/>
      <c r="X266" s="19"/>
      <c r="Z266" s="19"/>
      <c r="AB266" s="19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E266" s="18"/>
      <c r="BG266" s="18"/>
      <c r="BI266" s="18"/>
      <c r="BK266" s="18"/>
      <c r="BM266" s="18"/>
      <c r="BO266" s="18"/>
    </row>
    <row r="267" spans="4:67" ht="11.25" customHeight="1">
      <c r="F267" s="24"/>
      <c r="G267" s="47"/>
      <c r="H267" s="19"/>
      <c r="I267" s="19"/>
      <c r="J267" s="19"/>
      <c r="L267" s="19"/>
      <c r="N267" s="19"/>
      <c r="P267" s="19"/>
      <c r="R267" s="19"/>
      <c r="T267" s="19"/>
      <c r="V267" s="19"/>
      <c r="X267" s="19"/>
      <c r="Z267" s="19"/>
      <c r="AB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8"/>
      <c r="BE267" s="18"/>
      <c r="BG267" s="18"/>
      <c r="BI267" s="18"/>
      <c r="BK267" s="18"/>
      <c r="BM267" s="18"/>
      <c r="BO267" s="18"/>
    </row>
    <row r="268" spans="4:67" ht="11.25" customHeight="1">
      <c r="G268" s="18"/>
      <c r="I268" s="18"/>
      <c r="K268" s="18"/>
      <c r="M268" s="18"/>
      <c r="O268" s="18"/>
      <c r="Q268" s="18"/>
      <c r="S268" s="18"/>
      <c r="U268" s="18"/>
      <c r="W268" s="18"/>
      <c r="Y268" s="18"/>
      <c r="AA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9"/>
      <c r="BE268" s="19"/>
      <c r="BG268" s="19"/>
      <c r="BI268" s="19"/>
      <c r="BK268" s="19"/>
      <c r="BM268" s="19"/>
      <c r="BO268" s="19"/>
    </row>
    <row r="269" spans="4:67" ht="11.25" customHeight="1">
      <c r="G269" s="18"/>
      <c r="I269" s="18"/>
      <c r="K269" s="18"/>
      <c r="M269" s="18"/>
      <c r="O269" s="18"/>
      <c r="Q269" s="18"/>
      <c r="S269" s="18"/>
      <c r="U269" s="18"/>
      <c r="W269" s="18"/>
      <c r="Y269" s="18"/>
      <c r="AA269" s="18"/>
      <c r="AC269" s="18"/>
      <c r="BC269" s="19"/>
      <c r="BE269" s="19"/>
      <c r="BG269" s="19"/>
      <c r="BI269" s="19"/>
      <c r="BK269" s="19"/>
      <c r="BM269" s="19"/>
      <c r="BO269" s="19"/>
    </row>
    <row r="270" spans="4:67" ht="11.25" customHeight="1">
      <c r="F270" s="24"/>
      <c r="G270" s="19"/>
      <c r="I270" s="19"/>
      <c r="K270" s="19"/>
      <c r="M270" s="19"/>
      <c r="O270" s="19"/>
      <c r="Q270" s="19"/>
      <c r="S270" s="19"/>
      <c r="U270" s="19"/>
      <c r="W270" s="19"/>
      <c r="Y270" s="19"/>
      <c r="AA270" s="19"/>
      <c r="AC270" s="19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D270" s="18"/>
      <c r="BF270" s="18"/>
      <c r="BH270" s="18"/>
      <c r="BJ270" s="18"/>
      <c r="BL270" s="18"/>
      <c r="BN270" s="18"/>
    </row>
    <row r="271" spans="4:67" ht="11.25" customHeight="1">
      <c r="F271" s="24"/>
      <c r="G271" s="19"/>
      <c r="I271" s="19"/>
      <c r="K271" s="19"/>
      <c r="M271" s="19"/>
      <c r="O271" s="19"/>
      <c r="Q271" s="19"/>
      <c r="S271" s="19"/>
      <c r="U271" s="19"/>
      <c r="W271" s="19"/>
      <c r="Y271" s="19"/>
      <c r="AA271" s="19"/>
      <c r="AC271" s="19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D271" s="18"/>
      <c r="BF271" s="18"/>
      <c r="BH271" s="18"/>
      <c r="BJ271" s="18"/>
      <c r="BL271" s="18"/>
      <c r="BN271" s="18"/>
    </row>
    <row r="272" spans="4:67" ht="11.25" customHeight="1">
      <c r="F272" s="24"/>
      <c r="H272" s="18"/>
      <c r="J272" s="18"/>
      <c r="L272" s="18"/>
      <c r="N272" s="18"/>
      <c r="P272" s="18"/>
      <c r="R272" s="18"/>
      <c r="T272" s="18"/>
      <c r="V272" s="18"/>
      <c r="X272" s="18"/>
      <c r="Z272" s="18"/>
      <c r="AB272" s="18"/>
      <c r="AD272" s="18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D272" s="19"/>
      <c r="BF272" s="19"/>
      <c r="BH272" s="19"/>
      <c r="BJ272" s="19"/>
      <c r="BL272" s="19"/>
      <c r="BN272" s="19"/>
    </row>
    <row r="273" spans="6:67" ht="11.25" customHeight="1">
      <c r="F273" s="24"/>
      <c r="H273" s="18"/>
      <c r="J273" s="18"/>
      <c r="L273" s="18"/>
      <c r="N273" s="18"/>
      <c r="P273" s="18"/>
      <c r="R273" s="18"/>
      <c r="T273" s="18"/>
      <c r="V273" s="18"/>
      <c r="X273" s="18"/>
      <c r="Z273" s="18"/>
      <c r="AB273" s="18"/>
      <c r="AD273" s="18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D273" s="19"/>
      <c r="BF273" s="19"/>
      <c r="BH273" s="19"/>
      <c r="BJ273" s="19"/>
      <c r="BL273" s="19"/>
      <c r="BN273" s="19"/>
    </row>
    <row r="274" spans="6:67" ht="11.25" customHeight="1">
      <c r="H274" s="19"/>
      <c r="J274" s="19"/>
      <c r="L274" s="19"/>
      <c r="N274" s="19"/>
      <c r="P274" s="19"/>
      <c r="R274" s="19"/>
      <c r="T274" s="19"/>
      <c r="V274" s="19"/>
      <c r="X274" s="19"/>
      <c r="Z274" s="19"/>
      <c r="AB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8"/>
      <c r="BE274" s="18"/>
      <c r="BG274" s="18"/>
      <c r="BI274" s="18"/>
      <c r="BK274" s="18"/>
      <c r="BM274" s="18"/>
      <c r="BO274" s="18"/>
    </row>
    <row r="275" spans="6:67" ht="11.25" customHeight="1">
      <c r="H275" s="19"/>
      <c r="J275" s="19"/>
      <c r="L275" s="19"/>
      <c r="N275" s="19"/>
      <c r="P275" s="19"/>
      <c r="R275" s="19"/>
      <c r="T275" s="19"/>
      <c r="V275" s="19"/>
      <c r="X275" s="19"/>
      <c r="Z275" s="19"/>
      <c r="AB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8"/>
      <c r="BE275" s="18"/>
      <c r="BG275" s="18"/>
      <c r="BI275" s="18"/>
      <c r="BK275" s="18"/>
      <c r="BM275" s="18"/>
      <c r="BO275" s="18"/>
    </row>
    <row r="276" spans="6:67" ht="11.25" customHeight="1">
      <c r="I276" s="18"/>
      <c r="K276" s="18"/>
      <c r="M276" s="18"/>
      <c r="O276" s="18"/>
      <c r="Q276" s="18"/>
      <c r="S276" s="18"/>
      <c r="U276" s="18"/>
      <c r="W276" s="18"/>
      <c r="Y276" s="18"/>
      <c r="AA276" s="18"/>
      <c r="AC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9"/>
      <c r="BE276" s="19"/>
      <c r="BG276" s="19"/>
      <c r="BI276" s="19"/>
      <c r="BK276" s="19"/>
      <c r="BM276" s="19"/>
      <c r="BO276" s="19"/>
    </row>
    <row r="277" spans="6:67" ht="11.25" customHeight="1">
      <c r="I277" s="18"/>
      <c r="K277" s="18"/>
      <c r="M277" s="18"/>
      <c r="O277" s="18"/>
      <c r="Q277" s="18"/>
      <c r="S277" s="18"/>
      <c r="U277" s="18"/>
      <c r="W277" s="18"/>
      <c r="Y277" s="18"/>
      <c r="AA277" s="18"/>
      <c r="AC277" s="18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E277" s="19"/>
      <c r="BG277" s="19"/>
      <c r="BI277" s="19"/>
      <c r="BK277" s="19"/>
      <c r="BM277" s="19"/>
      <c r="BO277" s="19"/>
    </row>
    <row r="278" spans="6:67" ht="11.25" customHeight="1">
      <c r="I278" s="19"/>
      <c r="K278" s="19"/>
      <c r="M278" s="19"/>
      <c r="O278" s="19"/>
      <c r="Q278" s="19"/>
      <c r="S278" s="19"/>
      <c r="U278" s="19"/>
      <c r="W278" s="19"/>
      <c r="Y278" s="19"/>
      <c r="AA278" s="19"/>
      <c r="AC278" s="19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D278" s="18"/>
      <c r="BF278" s="18"/>
      <c r="BH278" s="18"/>
      <c r="BJ278" s="18"/>
      <c r="BL278" s="18"/>
      <c r="BN278" s="18"/>
    </row>
    <row r="279" spans="6:67" ht="11.25" customHeight="1">
      <c r="I279" s="19"/>
      <c r="K279" s="19"/>
      <c r="M279" s="19"/>
      <c r="O279" s="19"/>
      <c r="Q279" s="19"/>
      <c r="S279" s="19"/>
      <c r="U279" s="19"/>
      <c r="W279" s="19"/>
      <c r="Y279" s="19"/>
      <c r="AA279" s="19"/>
      <c r="AC279" s="19"/>
      <c r="AE279" s="19"/>
      <c r="BD279" s="18"/>
      <c r="BF279" s="18"/>
      <c r="BH279" s="18"/>
      <c r="BJ279" s="18"/>
      <c r="BL279" s="18"/>
      <c r="BN279" s="18"/>
    </row>
    <row r="280" spans="6:67" ht="11.25" customHeight="1">
      <c r="J280" s="18"/>
      <c r="L280" s="18"/>
      <c r="N280" s="18"/>
      <c r="P280" s="18"/>
      <c r="R280" s="18"/>
      <c r="T280" s="18"/>
      <c r="V280" s="18"/>
      <c r="X280" s="18"/>
      <c r="Z280" s="18"/>
      <c r="AB280" s="18"/>
      <c r="AD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D280" s="19"/>
      <c r="BF280" s="19"/>
      <c r="BH280" s="19"/>
      <c r="BJ280" s="19"/>
      <c r="BL280" s="19"/>
      <c r="BN280" s="19"/>
    </row>
    <row r="281" spans="6:67" ht="11.25" customHeight="1">
      <c r="J281" s="18"/>
      <c r="L281" s="18"/>
      <c r="N281" s="18"/>
      <c r="P281" s="18"/>
      <c r="R281" s="18"/>
      <c r="T281" s="18"/>
      <c r="V281" s="18"/>
      <c r="X281" s="18"/>
      <c r="Z281" s="18"/>
      <c r="AB281" s="18"/>
      <c r="AD281" s="18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D281" s="19"/>
      <c r="BF281" s="19"/>
      <c r="BH281" s="19"/>
      <c r="BJ281" s="19"/>
      <c r="BL281" s="19"/>
      <c r="BN281" s="19"/>
    </row>
    <row r="282" spans="6:67" ht="11.25" customHeight="1">
      <c r="J282" s="19"/>
      <c r="L282" s="19"/>
      <c r="N282" s="19"/>
      <c r="P282" s="19"/>
      <c r="R282" s="19"/>
      <c r="T282" s="19"/>
      <c r="V282" s="19"/>
      <c r="X282" s="19"/>
      <c r="Z282" s="19"/>
      <c r="AB282" s="19"/>
      <c r="AD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8"/>
      <c r="BE282" s="18"/>
      <c r="BG282" s="18"/>
      <c r="BI282" s="18"/>
      <c r="BK282" s="18"/>
      <c r="BM282" s="18"/>
      <c r="BO282" s="18"/>
    </row>
    <row r="283" spans="6:67" ht="11.25" customHeight="1">
      <c r="J283" s="19"/>
      <c r="L283" s="19"/>
      <c r="N283" s="19"/>
      <c r="P283" s="19"/>
      <c r="R283" s="19"/>
      <c r="T283" s="19"/>
      <c r="V283" s="19"/>
      <c r="X283" s="19"/>
      <c r="Z283" s="19"/>
      <c r="AB283" s="19"/>
      <c r="AD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9"/>
      <c r="BC283" s="18"/>
      <c r="BE283" s="18"/>
      <c r="BG283" s="18"/>
      <c r="BI283" s="18"/>
      <c r="BK283" s="18"/>
      <c r="BM283" s="18"/>
      <c r="BO283" s="18"/>
    </row>
    <row r="284" spans="6:67" ht="11.25" customHeight="1">
      <c r="K284" s="18"/>
      <c r="M284" s="18"/>
      <c r="O284" s="18"/>
      <c r="Q284" s="18"/>
      <c r="S284" s="18"/>
      <c r="U284" s="18"/>
      <c r="W284" s="18"/>
      <c r="Y284" s="18"/>
      <c r="AA284" s="18"/>
      <c r="AC284" s="18"/>
      <c r="AE284" s="18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E284" s="19"/>
      <c r="BG284" s="19"/>
      <c r="BI284" s="19"/>
      <c r="BK284" s="19"/>
      <c r="BM284" s="19"/>
      <c r="BO284" s="19"/>
    </row>
    <row r="285" spans="6:67" ht="11.25" customHeight="1">
      <c r="K285" s="18"/>
      <c r="M285" s="18"/>
      <c r="O285" s="18"/>
      <c r="Q285" s="18"/>
      <c r="S285" s="18"/>
      <c r="U285" s="18"/>
      <c r="W285" s="18"/>
      <c r="Y285" s="18"/>
      <c r="AA285" s="18"/>
      <c r="AC285" s="18"/>
      <c r="AE285" s="18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9"/>
      <c r="BC285" s="19"/>
      <c r="BE285" s="19"/>
      <c r="BG285" s="19"/>
      <c r="BI285" s="19"/>
      <c r="BK285" s="19"/>
      <c r="BM285" s="19"/>
      <c r="BO285" s="19"/>
    </row>
    <row r="286" spans="6:67" ht="11.25" customHeight="1">
      <c r="K286" s="19"/>
      <c r="M286" s="19"/>
      <c r="O286" s="19"/>
      <c r="Q286" s="19"/>
      <c r="S286" s="19"/>
      <c r="U286" s="19"/>
      <c r="W286" s="19"/>
      <c r="Y286" s="19"/>
      <c r="AA286" s="19"/>
      <c r="AC286" s="19"/>
      <c r="AE286" s="19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D286" s="18"/>
      <c r="BF286" s="18"/>
      <c r="BH286" s="18"/>
      <c r="BJ286" s="18"/>
      <c r="BL286" s="18"/>
      <c r="BN286" s="18"/>
    </row>
    <row r="287" spans="6:67" ht="11.25" customHeight="1">
      <c r="K287" s="19"/>
      <c r="M287" s="19"/>
      <c r="O287" s="19"/>
      <c r="Q287" s="19"/>
      <c r="S287" s="19"/>
      <c r="U287" s="19"/>
      <c r="W287" s="19"/>
      <c r="Y287" s="19"/>
      <c r="AA287" s="19"/>
      <c r="AC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9"/>
      <c r="BD287" s="18"/>
      <c r="BF287" s="18"/>
      <c r="BH287" s="18"/>
      <c r="BJ287" s="18"/>
      <c r="BL287" s="18"/>
      <c r="BN287" s="18"/>
    </row>
    <row r="288" spans="6:67" ht="11.25" customHeight="1">
      <c r="L288" s="18"/>
      <c r="N288" s="18"/>
      <c r="P288" s="18"/>
      <c r="R288" s="18"/>
      <c r="T288" s="18"/>
      <c r="V288" s="18"/>
      <c r="X288" s="18"/>
      <c r="Z288" s="18"/>
      <c r="AB288" s="18"/>
      <c r="AD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D288" s="19"/>
      <c r="BF288" s="19"/>
      <c r="BH288" s="19"/>
      <c r="BJ288" s="19"/>
      <c r="BL288" s="19"/>
      <c r="BN288" s="19"/>
    </row>
    <row r="289" spans="12:67" ht="11.25" customHeight="1">
      <c r="L289" s="18"/>
      <c r="N289" s="18"/>
      <c r="P289" s="18"/>
      <c r="R289" s="18"/>
      <c r="T289" s="18"/>
      <c r="V289" s="18"/>
      <c r="X289" s="18"/>
      <c r="Z289" s="18"/>
      <c r="AB289" s="18"/>
      <c r="AD289" s="18"/>
      <c r="AF289" s="18"/>
      <c r="BD289" s="19"/>
      <c r="BF289" s="19"/>
      <c r="BH289" s="19"/>
      <c r="BJ289" s="19"/>
      <c r="BL289" s="19"/>
      <c r="BN289" s="19"/>
    </row>
    <row r="290" spans="12:67" ht="11.25" customHeight="1">
      <c r="L290" s="19"/>
      <c r="N290" s="19"/>
      <c r="P290" s="19"/>
      <c r="R290" s="19"/>
      <c r="T290" s="19"/>
      <c r="V290" s="19"/>
      <c r="X290" s="19"/>
      <c r="Z290" s="19"/>
      <c r="AB290" s="19"/>
      <c r="AD290" s="19"/>
      <c r="AF290" s="19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E290" s="18"/>
      <c r="BG290" s="18"/>
      <c r="BI290" s="18"/>
      <c r="BK290" s="18"/>
      <c r="BM290" s="18"/>
      <c r="BO290" s="18"/>
    </row>
    <row r="291" spans="12:67" ht="11.25" customHeight="1">
      <c r="L291" s="19"/>
      <c r="N291" s="19"/>
      <c r="P291" s="19"/>
      <c r="R291" s="19"/>
      <c r="T291" s="19"/>
      <c r="V291" s="19"/>
      <c r="X291" s="19"/>
      <c r="Z291" s="19"/>
      <c r="AB291" s="19"/>
      <c r="AD291" s="19"/>
      <c r="AF291" s="19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18"/>
      <c r="BE291" s="18"/>
      <c r="BG291" s="18"/>
      <c r="BI291" s="18"/>
      <c r="BK291" s="18"/>
      <c r="BM291" s="18"/>
      <c r="BO291" s="18"/>
    </row>
    <row r="292" spans="12:67" ht="11.25" customHeight="1">
      <c r="M292" s="18"/>
      <c r="O292" s="18"/>
      <c r="Q292" s="18"/>
      <c r="S292" s="18"/>
      <c r="U292" s="18"/>
      <c r="W292" s="18"/>
      <c r="Y292" s="18"/>
      <c r="AA292" s="18"/>
      <c r="AC292" s="18"/>
      <c r="AE292" s="18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9"/>
      <c r="BC292" s="19"/>
      <c r="BE292" s="19"/>
      <c r="BG292" s="19"/>
      <c r="BI292" s="19"/>
      <c r="BK292" s="19"/>
      <c r="BM292" s="19"/>
      <c r="BO292" s="19"/>
    </row>
    <row r="293" spans="12:67" ht="11.25" customHeight="1">
      <c r="M293" s="18"/>
      <c r="O293" s="18"/>
      <c r="Q293" s="18"/>
      <c r="S293" s="18"/>
      <c r="U293" s="18"/>
      <c r="W293" s="18"/>
      <c r="Y293" s="18"/>
      <c r="AA293" s="18"/>
      <c r="AC293" s="18"/>
      <c r="AE293" s="18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9"/>
      <c r="BC293" s="19"/>
      <c r="BE293" s="19"/>
      <c r="BG293" s="19"/>
      <c r="BI293" s="19"/>
      <c r="BK293" s="19"/>
      <c r="BM293" s="19"/>
      <c r="BO293" s="19"/>
    </row>
    <row r="294" spans="12:67" ht="11.25" customHeight="1">
      <c r="M294" s="19"/>
      <c r="O294" s="19"/>
      <c r="Q294" s="19"/>
      <c r="S294" s="19"/>
      <c r="U294" s="19"/>
      <c r="W294" s="19"/>
      <c r="Y294" s="19"/>
      <c r="AA294" s="19"/>
      <c r="AC294" s="19"/>
      <c r="AE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9"/>
      <c r="BD294" s="18"/>
      <c r="BF294" s="18"/>
      <c r="BH294" s="18"/>
      <c r="BJ294" s="18"/>
      <c r="BL294" s="18"/>
      <c r="BN294" s="18"/>
    </row>
    <row r="295" spans="12:67" ht="11.25" customHeight="1">
      <c r="M295" s="19"/>
      <c r="O295" s="19"/>
      <c r="Q295" s="19"/>
      <c r="S295" s="19"/>
      <c r="U295" s="19"/>
      <c r="W295" s="19"/>
      <c r="Y295" s="19"/>
      <c r="AA295" s="19"/>
      <c r="AC295" s="19"/>
      <c r="AE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9"/>
      <c r="BD295" s="18"/>
      <c r="BF295" s="18"/>
      <c r="BH295" s="18"/>
      <c r="BJ295" s="18"/>
      <c r="BL295" s="18"/>
      <c r="BN295" s="18"/>
    </row>
    <row r="296" spans="12:67" ht="11.25" customHeight="1">
      <c r="N296" s="18"/>
      <c r="P296" s="18"/>
      <c r="R296" s="18"/>
      <c r="T296" s="18"/>
      <c r="V296" s="18"/>
      <c r="X296" s="18"/>
      <c r="Z296" s="18"/>
      <c r="AB296" s="18"/>
      <c r="AD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D296" s="19"/>
      <c r="BF296" s="19"/>
      <c r="BH296" s="19"/>
      <c r="BJ296" s="19"/>
      <c r="BL296" s="19"/>
      <c r="BN296" s="19"/>
    </row>
    <row r="297" spans="12:67" ht="11.25" customHeight="1">
      <c r="N297" s="18"/>
      <c r="P297" s="18"/>
      <c r="R297" s="18"/>
      <c r="T297" s="18"/>
      <c r="V297" s="18"/>
      <c r="X297" s="18"/>
      <c r="Z297" s="18"/>
      <c r="AB297" s="18"/>
      <c r="AD297" s="18"/>
      <c r="AF297" s="18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9"/>
      <c r="BD297" s="19"/>
      <c r="BF297" s="19"/>
      <c r="BH297" s="19"/>
      <c r="BJ297" s="19"/>
      <c r="BL297" s="19"/>
      <c r="BN297" s="19"/>
    </row>
    <row r="298" spans="12:67" ht="11.25" customHeight="1">
      <c r="N298" s="19"/>
      <c r="P298" s="19"/>
      <c r="R298" s="19"/>
      <c r="T298" s="19"/>
      <c r="V298" s="19"/>
      <c r="X298" s="19"/>
      <c r="Z298" s="19"/>
      <c r="AB298" s="19"/>
      <c r="AD298" s="19"/>
      <c r="AF298" s="19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E298" s="18"/>
      <c r="BG298" s="18"/>
      <c r="BI298" s="18"/>
      <c r="BK298" s="18"/>
      <c r="BM298" s="18"/>
      <c r="BO298" s="18"/>
    </row>
    <row r="299" spans="12:67" ht="11.25" customHeight="1">
      <c r="N299" s="19"/>
      <c r="P299" s="19"/>
      <c r="R299" s="19"/>
      <c r="T299" s="19"/>
      <c r="V299" s="19"/>
      <c r="X299" s="19"/>
      <c r="Z299" s="19"/>
      <c r="AB299" s="19"/>
      <c r="AD299" s="19"/>
      <c r="AF299" s="19"/>
      <c r="BC299" s="18"/>
      <c r="BE299" s="18"/>
      <c r="BG299" s="18"/>
      <c r="BI299" s="18"/>
      <c r="BK299" s="18"/>
      <c r="BM299" s="18"/>
      <c r="BO299" s="18"/>
    </row>
    <row r="300" spans="12:67" ht="11.25" customHeight="1">
      <c r="O300" s="18"/>
      <c r="Q300" s="18"/>
      <c r="S300" s="18"/>
      <c r="U300" s="18"/>
      <c r="W300" s="18"/>
      <c r="Y300" s="18"/>
      <c r="AA300" s="18"/>
      <c r="AC300" s="18"/>
      <c r="AE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9"/>
      <c r="BE300" s="19"/>
      <c r="BG300" s="19"/>
      <c r="BI300" s="19"/>
      <c r="BK300" s="19"/>
      <c r="BM300" s="19"/>
      <c r="BO300" s="19"/>
    </row>
    <row r="301" spans="12:67" ht="11.25" customHeight="1">
      <c r="O301" s="18"/>
      <c r="Q301" s="18"/>
      <c r="S301" s="18"/>
      <c r="U301" s="18"/>
      <c r="W301" s="18"/>
      <c r="Y301" s="18"/>
      <c r="AA301" s="18"/>
      <c r="AC301" s="18"/>
      <c r="AE301" s="18"/>
      <c r="AG301" s="18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19"/>
      <c r="BE301" s="19"/>
      <c r="BG301" s="19"/>
      <c r="BI301" s="19"/>
      <c r="BK301" s="19"/>
      <c r="BM301" s="19"/>
      <c r="BO301" s="19"/>
    </row>
    <row r="302" spans="12:67" ht="11.25" customHeight="1">
      <c r="O302" s="19"/>
      <c r="Q302" s="19"/>
      <c r="S302" s="19"/>
      <c r="U302" s="19"/>
      <c r="W302" s="19"/>
      <c r="Y302" s="19"/>
      <c r="AA302" s="19"/>
      <c r="AC302" s="19"/>
      <c r="AE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D302" s="18"/>
      <c r="BF302" s="18"/>
      <c r="BH302" s="18"/>
      <c r="BJ302" s="18"/>
      <c r="BL302" s="18"/>
      <c r="BN302" s="18"/>
    </row>
    <row r="303" spans="12:67" ht="11.25" customHeight="1">
      <c r="O303" s="19"/>
      <c r="Q303" s="19"/>
      <c r="S303" s="19"/>
      <c r="U303" s="19"/>
      <c r="W303" s="19"/>
      <c r="Y303" s="19"/>
      <c r="AA303" s="19"/>
      <c r="AC303" s="19"/>
      <c r="AE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D303" s="18"/>
      <c r="BF303" s="18"/>
      <c r="BH303" s="18"/>
      <c r="BJ303" s="18"/>
      <c r="BL303" s="18"/>
      <c r="BN303" s="18"/>
    </row>
    <row r="304" spans="12:67" ht="11.25" customHeight="1">
      <c r="P304" s="18"/>
      <c r="R304" s="18"/>
      <c r="T304" s="18"/>
      <c r="V304" s="18"/>
      <c r="X304" s="18"/>
      <c r="Z304" s="18"/>
      <c r="AB304" s="18"/>
      <c r="AD304" s="18"/>
      <c r="AF304" s="18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D304" s="19"/>
      <c r="BF304" s="19"/>
      <c r="BH304" s="19"/>
      <c r="BJ304" s="19"/>
      <c r="BL304" s="19"/>
      <c r="BN304" s="19"/>
    </row>
    <row r="305" spans="16:67" ht="11.25" customHeight="1">
      <c r="P305" s="18"/>
      <c r="R305" s="18"/>
      <c r="T305" s="18"/>
      <c r="V305" s="18"/>
      <c r="X305" s="18"/>
      <c r="Z305" s="18"/>
      <c r="AB305" s="18"/>
      <c r="AD305" s="18"/>
      <c r="AF305" s="18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D305" s="19"/>
      <c r="BF305" s="19"/>
      <c r="BH305" s="19"/>
      <c r="BJ305" s="19"/>
      <c r="BL305" s="19"/>
      <c r="BN305" s="19"/>
    </row>
    <row r="306" spans="16:67" ht="11.25" customHeight="1">
      <c r="P306" s="19"/>
      <c r="R306" s="19"/>
      <c r="T306" s="19"/>
      <c r="V306" s="19"/>
      <c r="X306" s="19"/>
      <c r="Z306" s="19"/>
      <c r="AB306" s="19"/>
      <c r="AD306" s="19"/>
      <c r="AF306" s="19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E306" s="18"/>
      <c r="BG306" s="18"/>
      <c r="BI306" s="18"/>
      <c r="BK306" s="18"/>
      <c r="BM306" s="18"/>
      <c r="BO306" s="18"/>
    </row>
    <row r="307" spans="16:67" ht="11.25" customHeight="1">
      <c r="P307" s="19"/>
      <c r="R307" s="19"/>
      <c r="T307" s="19"/>
      <c r="V307" s="19"/>
      <c r="X307" s="19"/>
      <c r="Z307" s="19"/>
      <c r="AB307" s="19"/>
      <c r="AD307" s="19"/>
      <c r="AF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8"/>
      <c r="BE307" s="18"/>
      <c r="BG307" s="18"/>
      <c r="BI307" s="18"/>
      <c r="BK307" s="18"/>
      <c r="BM307" s="18"/>
      <c r="BO307" s="18"/>
    </row>
    <row r="308" spans="16:67" ht="11.25" customHeight="1">
      <c r="Q308" s="18"/>
      <c r="S308" s="18"/>
      <c r="U308" s="18"/>
      <c r="W308" s="18"/>
      <c r="Y308" s="18"/>
      <c r="AA308" s="18"/>
      <c r="AC308" s="18"/>
      <c r="AE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9"/>
      <c r="BE308" s="19"/>
      <c r="BG308" s="19"/>
      <c r="BI308" s="19"/>
      <c r="BK308" s="19"/>
      <c r="BM308" s="19"/>
      <c r="BO308" s="19"/>
    </row>
    <row r="309" spans="16:67" ht="11.25" customHeight="1">
      <c r="Q309" s="18"/>
      <c r="S309" s="18"/>
      <c r="U309" s="18"/>
      <c r="W309" s="18"/>
      <c r="Y309" s="18"/>
      <c r="AA309" s="18"/>
      <c r="AC309" s="18"/>
      <c r="AE309" s="18"/>
      <c r="AG309" s="18"/>
      <c r="BC309" s="19"/>
      <c r="BE309" s="19"/>
      <c r="BG309" s="19"/>
      <c r="BI309" s="19"/>
      <c r="BK309" s="19"/>
      <c r="BM309" s="19"/>
      <c r="BO309" s="19"/>
    </row>
    <row r="310" spans="16:67" ht="11.25" customHeight="1">
      <c r="Q310" s="19"/>
      <c r="S310" s="19"/>
      <c r="U310" s="19"/>
      <c r="W310" s="19"/>
      <c r="Y310" s="19"/>
      <c r="AA310" s="19"/>
      <c r="AC310" s="19"/>
      <c r="AE310" s="19"/>
      <c r="AG310" s="19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D310" s="18"/>
      <c r="BF310" s="18"/>
      <c r="BH310" s="18"/>
      <c r="BJ310" s="18"/>
      <c r="BL310" s="18"/>
      <c r="BN310" s="18"/>
    </row>
    <row r="311" spans="16:67" ht="11.25" customHeight="1">
      <c r="Q311" s="19"/>
      <c r="S311" s="19"/>
      <c r="U311" s="19"/>
      <c r="W311" s="19"/>
      <c r="Y311" s="19"/>
      <c r="AA311" s="19"/>
      <c r="AC311" s="19"/>
      <c r="AE311" s="19"/>
      <c r="AG311" s="19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D311" s="18"/>
      <c r="BF311" s="18"/>
      <c r="BH311" s="18"/>
      <c r="BJ311" s="18"/>
      <c r="BL311" s="18"/>
      <c r="BN311" s="18"/>
    </row>
    <row r="312" spans="16:67" ht="11.25" customHeight="1">
      <c r="R312" s="18"/>
      <c r="T312" s="18"/>
      <c r="V312" s="18"/>
      <c r="X312" s="18"/>
      <c r="Z312" s="18"/>
      <c r="AB312" s="18"/>
      <c r="AD312" s="18"/>
      <c r="AF312" s="18"/>
      <c r="AH312" s="18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D312" s="19"/>
      <c r="BF312" s="19"/>
      <c r="BH312" s="19"/>
      <c r="BJ312" s="19"/>
      <c r="BL312" s="19"/>
      <c r="BN312" s="19"/>
    </row>
    <row r="313" spans="16:67" ht="11.25" customHeight="1">
      <c r="R313" s="18"/>
      <c r="T313" s="18"/>
      <c r="V313" s="18"/>
      <c r="X313" s="18"/>
      <c r="Z313" s="18"/>
      <c r="AB313" s="18"/>
      <c r="AD313" s="18"/>
      <c r="AF313" s="18"/>
      <c r="AH313" s="18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9"/>
      <c r="BD313" s="19"/>
      <c r="BF313" s="19"/>
      <c r="BH313" s="19"/>
      <c r="BJ313" s="19"/>
      <c r="BL313" s="19"/>
      <c r="BN313" s="19"/>
    </row>
    <row r="314" spans="16:67" ht="11.25" customHeight="1">
      <c r="R314" s="19"/>
      <c r="T314" s="19"/>
      <c r="V314" s="19"/>
      <c r="X314" s="19"/>
      <c r="Z314" s="19"/>
      <c r="AB314" s="19"/>
      <c r="AD314" s="19"/>
      <c r="AF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8"/>
      <c r="BE314" s="18"/>
      <c r="BG314" s="18"/>
      <c r="BI314" s="18"/>
      <c r="BK314" s="18"/>
      <c r="BM314" s="18"/>
      <c r="BO314" s="18"/>
    </row>
    <row r="315" spans="16:67" ht="11.25" customHeight="1">
      <c r="R315" s="19"/>
      <c r="T315" s="19"/>
      <c r="V315" s="19"/>
      <c r="X315" s="19"/>
      <c r="Z315" s="19"/>
      <c r="AB315" s="19"/>
      <c r="AD315" s="19"/>
      <c r="AF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9"/>
      <c r="BC315" s="18"/>
      <c r="BE315" s="18"/>
      <c r="BG315" s="18"/>
      <c r="BI315" s="18"/>
      <c r="BK315" s="18"/>
      <c r="BM315" s="18"/>
      <c r="BO315" s="18"/>
    </row>
    <row r="316" spans="16:67" ht="11.25" customHeight="1">
      <c r="S316" s="18"/>
      <c r="U316" s="18"/>
      <c r="W316" s="18"/>
      <c r="Y316" s="18"/>
      <c r="AA316" s="18"/>
      <c r="AC316" s="18"/>
      <c r="AE316" s="18"/>
      <c r="AG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9"/>
      <c r="BE316" s="19"/>
      <c r="BG316" s="19"/>
      <c r="BI316" s="19"/>
      <c r="BK316" s="19"/>
      <c r="BM316" s="19"/>
      <c r="BO316" s="19"/>
    </row>
    <row r="317" spans="16:67" ht="11.25" customHeight="1">
      <c r="S317" s="18"/>
      <c r="U317" s="18"/>
      <c r="W317" s="18"/>
      <c r="Y317" s="18"/>
      <c r="AA317" s="18"/>
      <c r="AC317" s="18"/>
      <c r="AE317" s="18"/>
      <c r="AG317" s="18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9"/>
      <c r="BC317" s="19"/>
      <c r="BE317" s="19"/>
      <c r="BG317" s="19"/>
      <c r="BI317" s="19"/>
      <c r="BK317" s="19"/>
      <c r="BM317" s="19"/>
      <c r="BO317" s="19"/>
    </row>
    <row r="318" spans="16:67" ht="11.25" customHeight="1">
      <c r="S318" s="19"/>
      <c r="U318" s="19"/>
      <c r="W318" s="19"/>
      <c r="Y318" s="19"/>
      <c r="AA318" s="19"/>
      <c r="AC318" s="19"/>
      <c r="AE318" s="19"/>
      <c r="AG318" s="19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D318" s="18"/>
      <c r="BF318" s="18"/>
      <c r="BH318" s="18"/>
      <c r="BJ318" s="18"/>
      <c r="BL318" s="18"/>
      <c r="BN318" s="18"/>
    </row>
    <row r="319" spans="16:67" ht="11.25" customHeight="1">
      <c r="S319" s="19"/>
      <c r="U319" s="19"/>
      <c r="W319" s="19"/>
      <c r="Y319" s="19"/>
      <c r="AA319" s="19"/>
      <c r="AC319" s="19"/>
      <c r="AE319" s="19"/>
      <c r="AG319" s="19"/>
      <c r="AI319" s="19"/>
      <c r="BD319" s="18"/>
      <c r="BF319" s="18"/>
      <c r="BH319" s="18"/>
      <c r="BJ319" s="18"/>
      <c r="BL319" s="18"/>
      <c r="BN319" s="18"/>
    </row>
    <row r="320" spans="16:67" ht="11.25" customHeight="1">
      <c r="T320" s="18"/>
      <c r="V320" s="18"/>
      <c r="X320" s="18"/>
      <c r="Z320" s="18"/>
      <c r="AB320" s="18"/>
      <c r="AD320" s="18"/>
      <c r="AF320" s="18"/>
      <c r="AH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D320" s="19"/>
      <c r="BF320" s="19"/>
      <c r="BH320" s="19"/>
      <c r="BJ320" s="19"/>
      <c r="BL320" s="19"/>
      <c r="BN320" s="19"/>
    </row>
    <row r="321" spans="20:67" ht="11.25" customHeight="1">
      <c r="T321" s="18"/>
      <c r="V321" s="18"/>
      <c r="X321" s="18"/>
      <c r="Z321" s="18"/>
      <c r="AB321" s="18"/>
      <c r="AD321" s="18"/>
      <c r="AF321" s="18"/>
      <c r="AH321" s="18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D321" s="19"/>
      <c r="BF321" s="19"/>
      <c r="BH321" s="19"/>
      <c r="BJ321" s="19"/>
      <c r="BL321" s="19"/>
      <c r="BN321" s="19"/>
    </row>
    <row r="322" spans="20:67" ht="11.25" customHeight="1">
      <c r="T322" s="19"/>
      <c r="V322" s="19"/>
      <c r="X322" s="19"/>
      <c r="Z322" s="19"/>
      <c r="AB322" s="19"/>
      <c r="AD322" s="19"/>
      <c r="AF322" s="19"/>
      <c r="AH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8"/>
      <c r="BE322" s="18"/>
      <c r="BG322" s="18"/>
      <c r="BI322" s="18"/>
      <c r="BK322" s="18"/>
      <c r="BM322" s="18"/>
      <c r="BO322" s="18"/>
    </row>
    <row r="323" spans="20:67" ht="11.25" customHeight="1">
      <c r="T323" s="19"/>
      <c r="V323" s="19"/>
      <c r="X323" s="19"/>
      <c r="Z323" s="19"/>
      <c r="AB323" s="19"/>
      <c r="AD323" s="19"/>
      <c r="AF323" s="19"/>
      <c r="AH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9"/>
      <c r="BC323" s="18"/>
      <c r="BE323" s="18"/>
      <c r="BG323" s="18"/>
      <c r="BI323" s="18"/>
      <c r="BK323" s="18"/>
      <c r="BM323" s="18"/>
      <c r="BO323" s="18"/>
    </row>
    <row r="324" spans="20:67" ht="11.25" customHeight="1">
      <c r="U324" s="18"/>
      <c r="W324" s="18"/>
      <c r="Y324" s="18"/>
      <c r="AA324" s="18"/>
      <c r="AC324" s="18"/>
      <c r="AE324" s="18"/>
      <c r="AG324" s="18"/>
      <c r="AI324" s="18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E324" s="19"/>
      <c r="BG324" s="19"/>
      <c r="BI324" s="19"/>
      <c r="BK324" s="19"/>
      <c r="BM324" s="19"/>
      <c r="BO324" s="19"/>
    </row>
    <row r="325" spans="20:67" ht="11.25" customHeight="1">
      <c r="U325" s="18"/>
      <c r="W325" s="18"/>
      <c r="Y325" s="18"/>
      <c r="AA325" s="18"/>
      <c r="AC325" s="18"/>
      <c r="AE325" s="18"/>
      <c r="AG325" s="18"/>
      <c r="AI325" s="18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9"/>
      <c r="BC325" s="19"/>
      <c r="BE325" s="19"/>
      <c r="BG325" s="19"/>
      <c r="BI325" s="19"/>
      <c r="BK325" s="19"/>
      <c r="BM325" s="19"/>
      <c r="BO325" s="19"/>
    </row>
    <row r="326" spans="20:67" ht="11.25" customHeight="1">
      <c r="U326" s="19"/>
      <c r="W326" s="19"/>
      <c r="Y326" s="19"/>
      <c r="AA326" s="19"/>
      <c r="AC326" s="19"/>
      <c r="AE326" s="19"/>
      <c r="AG326" s="19"/>
      <c r="AI326" s="19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D326" s="18"/>
      <c r="BF326" s="18"/>
      <c r="BH326" s="18"/>
      <c r="BJ326" s="18"/>
      <c r="BL326" s="18"/>
      <c r="BN326" s="18"/>
    </row>
    <row r="327" spans="20:67" ht="11.25" customHeight="1">
      <c r="U327" s="19"/>
      <c r="W327" s="19"/>
      <c r="Y327" s="19"/>
      <c r="AA327" s="19"/>
      <c r="AC327" s="19"/>
      <c r="AE327" s="19"/>
      <c r="AG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9"/>
      <c r="BD327" s="18"/>
      <c r="BF327" s="18"/>
      <c r="BH327" s="18"/>
      <c r="BJ327" s="18"/>
      <c r="BL327" s="18"/>
      <c r="BN327" s="18"/>
    </row>
    <row r="328" spans="20:67" ht="11.25" customHeight="1">
      <c r="V328" s="18"/>
      <c r="X328" s="18"/>
      <c r="Z328" s="18"/>
      <c r="AB328" s="18"/>
      <c r="AD328" s="18"/>
      <c r="AF328" s="18"/>
      <c r="AH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D328" s="19"/>
      <c r="BF328" s="19"/>
      <c r="BH328" s="19"/>
      <c r="BJ328" s="19"/>
      <c r="BL328" s="19"/>
      <c r="BN328" s="19"/>
    </row>
    <row r="329" spans="20:67" ht="11.25" customHeight="1">
      <c r="V329" s="18"/>
      <c r="X329" s="18"/>
      <c r="Z329" s="18"/>
      <c r="AB329" s="18"/>
      <c r="AD329" s="18"/>
      <c r="AF329" s="18"/>
      <c r="AH329" s="18"/>
      <c r="AJ329" s="18"/>
      <c r="BD329" s="19"/>
      <c r="BF329" s="19"/>
      <c r="BH329" s="19"/>
      <c r="BJ329" s="19"/>
      <c r="BL329" s="19"/>
      <c r="BN329" s="19"/>
    </row>
    <row r="330" spans="20:67" ht="11.25" customHeight="1">
      <c r="V330" s="19"/>
      <c r="X330" s="19"/>
      <c r="Z330" s="19"/>
      <c r="AB330" s="19"/>
      <c r="AD330" s="19"/>
      <c r="AF330" s="19"/>
      <c r="AH330" s="19"/>
      <c r="AJ330" s="19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E330" s="18"/>
      <c r="BG330" s="18"/>
      <c r="BI330" s="18"/>
      <c r="BK330" s="18"/>
      <c r="BM330" s="18"/>
      <c r="BO330" s="18"/>
    </row>
    <row r="331" spans="20:67" ht="11.25" customHeight="1">
      <c r="V331" s="19"/>
      <c r="X331" s="19"/>
      <c r="Z331" s="19"/>
      <c r="AB331" s="19"/>
      <c r="AD331" s="19"/>
      <c r="AF331" s="19"/>
      <c r="AH331" s="19"/>
      <c r="AJ331" s="19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18"/>
      <c r="BE331" s="18"/>
      <c r="BG331" s="18"/>
      <c r="BI331" s="18"/>
      <c r="BK331" s="18"/>
      <c r="BM331" s="18"/>
      <c r="BO331" s="18"/>
    </row>
    <row r="332" spans="20:67" ht="11.25" customHeight="1">
      <c r="W332" s="18"/>
      <c r="Y332" s="18"/>
      <c r="AA332" s="18"/>
      <c r="AC332" s="18"/>
      <c r="AE332" s="18"/>
      <c r="AG332" s="18"/>
      <c r="AI332" s="18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E332" s="19"/>
      <c r="BG332" s="19"/>
      <c r="BI332" s="19"/>
      <c r="BK332" s="19"/>
      <c r="BM332" s="19"/>
      <c r="BO332" s="19"/>
    </row>
    <row r="333" spans="20:67" ht="11.25" customHeight="1">
      <c r="W333" s="18"/>
      <c r="Y333" s="18"/>
      <c r="AA333" s="18"/>
      <c r="AC333" s="18"/>
      <c r="AE333" s="18"/>
      <c r="AG333" s="18"/>
      <c r="AI333" s="18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9"/>
      <c r="BC333" s="19"/>
      <c r="BE333" s="19"/>
      <c r="BG333" s="19"/>
      <c r="BI333" s="19"/>
      <c r="BK333" s="19"/>
      <c r="BM333" s="19"/>
      <c r="BO333" s="19"/>
    </row>
    <row r="334" spans="20:67" ht="11.25" customHeight="1">
      <c r="W334" s="19"/>
      <c r="Y334" s="19"/>
      <c r="AA334" s="19"/>
      <c r="AC334" s="19"/>
      <c r="AE334" s="19"/>
      <c r="AG334" s="19"/>
      <c r="AI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D334" s="18"/>
      <c r="BF334" s="18"/>
      <c r="BH334" s="18"/>
      <c r="BJ334" s="18"/>
      <c r="BL334" s="18"/>
      <c r="BN334" s="18"/>
    </row>
    <row r="335" spans="20:67" ht="11.25" customHeight="1">
      <c r="W335" s="19"/>
      <c r="Y335" s="19"/>
      <c r="AA335" s="19"/>
      <c r="AC335" s="19"/>
      <c r="AE335" s="19"/>
      <c r="AG335" s="19"/>
      <c r="AI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9"/>
      <c r="BD335" s="18"/>
      <c r="BF335" s="18"/>
      <c r="BH335" s="18"/>
      <c r="BJ335" s="18"/>
      <c r="BL335" s="18"/>
      <c r="BN335" s="18"/>
    </row>
    <row r="336" spans="20:67" ht="11.25" customHeight="1">
      <c r="X336" s="18"/>
      <c r="Z336" s="18"/>
      <c r="AB336" s="18"/>
      <c r="AD336" s="18"/>
      <c r="AF336" s="18"/>
      <c r="AH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D336" s="19"/>
      <c r="BF336" s="19"/>
      <c r="BH336" s="19"/>
      <c r="BJ336" s="19"/>
      <c r="BL336" s="19"/>
      <c r="BN336" s="19"/>
    </row>
    <row r="337" spans="24:67" ht="11.25" customHeight="1">
      <c r="X337" s="18"/>
      <c r="Z337" s="18"/>
      <c r="AB337" s="18"/>
      <c r="AD337" s="18"/>
      <c r="AF337" s="18"/>
      <c r="AH337" s="18"/>
      <c r="AJ337" s="18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9"/>
      <c r="BD337" s="19"/>
      <c r="BF337" s="19"/>
      <c r="BH337" s="19"/>
      <c r="BJ337" s="19"/>
      <c r="BL337" s="19"/>
      <c r="BN337" s="19"/>
    </row>
    <row r="338" spans="24:67" ht="11.25" customHeight="1">
      <c r="X338" s="19"/>
      <c r="Z338" s="19"/>
      <c r="AB338" s="19"/>
      <c r="AD338" s="19"/>
      <c r="AF338" s="19"/>
      <c r="AH338" s="19"/>
      <c r="AJ338" s="19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E338" s="18"/>
      <c r="BG338" s="18"/>
      <c r="BI338" s="18"/>
      <c r="BK338" s="18"/>
      <c r="BM338" s="18"/>
      <c r="BO338" s="18"/>
    </row>
    <row r="339" spans="24:67" ht="11.25" customHeight="1">
      <c r="X339" s="19"/>
      <c r="Z339" s="19"/>
      <c r="AB339" s="19"/>
      <c r="AD339" s="19"/>
      <c r="AF339" s="19"/>
      <c r="AH339" s="19"/>
      <c r="AJ339" s="19"/>
      <c r="BC339" s="18"/>
      <c r="BE339" s="18"/>
      <c r="BG339" s="18"/>
      <c r="BI339" s="18"/>
      <c r="BK339" s="18"/>
      <c r="BM339" s="18"/>
      <c r="BO339" s="18"/>
    </row>
    <row r="340" spans="24:67" ht="11.25" customHeight="1">
      <c r="Y340" s="18"/>
      <c r="AA340" s="18"/>
      <c r="AC340" s="18"/>
      <c r="AE340" s="18"/>
      <c r="AG340" s="18"/>
      <c r="AI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9"/>
      <c r="BE340" s="19"/>
      <c r="BG340" s="19"/>
      <c r="BI340" s="19"/>
      <c r="BK340" s="19"/>
      <c r="BM340" s="19"/>
      <c r="BO340" s="19"/>
    </row>
    <row r="341" spans="24:67" ht="11.25" customHeight="1">
      <c r="Y341" s="18"/>
      <c r="AA341" s="18"/>
      <c r="AC341" s="18"/>
      <c r="AE341" s="18"/>
      <c r="AG341" s="18"/>
      <c r="AI341" s="18"/>
      <c r="AK341" s="18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19"/>
      <c r="BE341" s="19"/>
      <c r="BG341" s="19"/>
      <c r="BI341" s="19"/>
      <c r="BK341" s="19"/>
      <c r="BM341" s="19"/>
      <c r="BO341" s="19"/>
    </row>
    <row r="342" spans="24:67" ht="11.25" customHeight="1">
      <c r="Y342" s="19"/>
      <c r="AA342" s="19"/>
      <c r="AC342" s="19"/>
      <c r="AE342" s="19"/>
      <c r="AG342" s="19"/>
      <c r="AI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D342" s="18"/>
      <c r="BF342" s="18"/>
      <c r="BH342" s="18"/>
      <c r="BJ342" s="18"/>
      <c r="BL342" s="18"/>
      <c r="BN342" s="18"/>
    </row>
    <row r="343" spans="24:67" ht="11.25" customHeight="1">
      <c r="Y343" s="19"/>
      <c r="AA343" s="19"/>
      <c r="AC343" s="19"/>
      <c r="AE343" s="19"/>
      <c r="AG343" s="19"/>
      <c r="AI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9"/>
      <c r="BD343" s="18"/>
      <c r="BF343" s="18"/>
      <c r="BH343" s="18"/>
      <c r="BJ343" s="18"/>
      <c r="BL343" s="18"/>
      <c r="BN343" s="18"/>
    </row>
    <row r="344" spans="24:67" ht="11.25" customHeight="1">
      <c r="Z344" s="18"/>
      <c r="AB344" s="18"/>
      <c r="AD344" s="18"/>
      <c r="AF344" s="18"/>
      <c r="AH344" s="18"/>
      <c r="AJ344" s="18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D344" s="19"/>
      <c r="BF344" s="19"/>
      <c r="BH344" s="19"/>
      <c r="BJ344" s="19"/>
      <c r="BL344" s="19"/>
      <c r="BN344" s="19"/>
    </row>
    <row r="345" spans="24:67" ht="11.25" customHeight="1">
      <c r="Z345" s="18"/>
      <c r="AB345" s="18"/>
      <c r="AD345" s="18"/>
      <c r="AF345" s="18"/>
      <c r="AH345" s="18"/>
      <c r="AJ345" s="18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9"/>
      <c r="BD345" s="19"/>
      <c r="BF345" s="19"/>
      <c r="BH345" s="19"/>
      <c r="BJ345" s="19"/>
      <c r="BL345" s="19"/>
      <c r="BN345" s="19"/>
    </row>
    <row r="346" spans="24:67" ht="11.25" customHeight="1">
      <c r="Z346" s="19"/>
      <c r="AB346" s="19"/>
      <c r="AD346" s="19"/>
      <c r="AF346" s="19"/>
      <c r="AH346" s="19"/>
      <c r="AJ346" s="19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E346" s="18"/>
      <c r="BG346" s="18"/>
      <c r="BI346" s="18"/>
      <c r="BK346" s="18"/>
      <c r="BM346" s="18"/>
      <c r="BO346" s="18"/>
    </row>
    <row r="347" spans="24:67" ht="11.25" customHeight="1">
      <c r="Z347" s="19"/>
      <c r="AB347" s="19"/>
      <c r="AD347" s="19"/>
      <c r="AF347" s="19"/>
      <c r="AH347" s="19"/>
      <c r="AJ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8"/>
      <c r="BE347" s="18"/>
      <c r="BG347" s="18"/>
      <c r="BI347" s="18"/>
      <c r="BK347" s="18"/>
      <c r="BM347" s="18"/>
      <c r="BO347" s="18"/>
    </row>
    <row r="348" spans="24:67" ht="11.25" customHeight="1">
      <c r="AA348" s="18"/>
      <c r="AC348" s="18"/>
      <c r="AE348" s="18"/>
      <c r="AG348" s="18"/>
      <c r="AI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9"/>
      <c r="BE348" s="19"/>
      <c r="BG348" s="19"/>
      <c r="BI348" s="19"/>
      <c r="BK348" s="19"/>
      <c r="BM348" s="19"/>
      <c r="BO348" s="19"/>
    </row>
    <row r="349" spans="24:67" ht="11.25" customHeight="1">
      <c r="AA349" s="18"/>
      <c r="AC349" s="18"/>
      <c r="AE349" s="18"/>
      <c r="AG349" s="18"/>
      <c r="AI349" s="18"/>
      <c r="AK349" s="18"/>
      <c r="BC349" s="19"/>
      <c r="BE349" s="19"/>
      <c r="BG349" s="19"/>
      <c r="BI349" s="19"/>
      <c r="BK349" s="19"/>
      <c r="BM349" s="19"/>
      <c r="BO349" s="19"/>
    </row>
    <row r="350" spans="24:67" ht="11.25" customHeight="1">
      <c r="AA350" s="19"/>
      <c r="AC350" s="19"/>
      <c r="AE350" s="19"/>
      <c r="AG350" s="19"/>
      <c r="AI350" s="19"/>
      <c r="AK350" s="19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8"/>
      <c r="BD350" s="18"/>
      <c r="BF350" s="18"/>
      <c r="BH350" s="18"/>
      <c r="BJ350" s="18"/>
      <c r="BL350" s="18"/>
      <c r="BN350" s="18"/>
    </row>
    <row r="351" spans="24:67" ht="11.25" customHeight="1">
      <c r="AA351" s="19"/>
      <c r="AC351" s="19"/>
      <c r="AE351" s="19"/>
      <c r="AG351" s="19"/>
      <c r="AI351" s="19"/>
      <c r="AK351" s="19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D351" s="18"/>
      <c r="BF351" s="18"/>
      <c r="BH351" s="18"/>
      <c r="BJ351" s="18"/>
      <c r="BL351" s="18"/>
      <c r="BN351" s="18"/>
    </row>
    <row r="352" spans="24:67" ht="11.25" customHeight="1">
      <c r="AB352" s="18"/>
      <c r="AD352" s="18"/>
      <c r="AF352" s="18"/>
      <c r="AH352" s="18"/>
      <c r="AJ352" s="18"/>
      <c r="AL352" s="18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D352" s="19"/>
      <c r="BF352" s="19"/>
      <c r="BH352" s="19"/>
      <c r="BJ352" s="19"/>
      <c r="BL352" s="19"/>
      <c r="BN352" s="19"/>
    </row>
    <row r="353" spans="28:67" ht="11.25" customHeight="1">
      <c r="AB353" s="18"/>
      <c r="AD353" s="18"/>
      <c r="AF353" s="18"/>
      <c r="AH353" s="18"/>
      <c r="AJ353" s="18"/>
      <c r="AL353" s="18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D353" s="19"/>
      <c r="BF353" s="19"/>
      <c r="BH353" s="19"/>
      <c r="BJ353" s="19"/>
      <c r="BL353" s="19"/>
      <c r="BN353" s="19"/>
    </row>
    <row r="354" spans="28:67" ht="11.25" customHeight="1">
      <c r="AB354" s="19"/>
      <c r="AD354" s="19"/>
      <c r="AF354" s="19"/>
      <c r="AH354" s="19"/>
      <c r="AJ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8"/>
      <c r="BE354" s="18"/>
      <c r="BG354" s="18"/>
      <c r="BI354" s="18"/>
      <c r="BK354" s="18"/>
      <c r="BM354" s="18"/>
      <c r="BO354" s="18"/>
    </row>
    <row r="355" spans="28:67" ht="11.25" customHeight="1">
      <c r="AB355" s="19"/>
      <c r="AD355" s="19"/>
      <c r="AF355" s="19"/>
      <c r="AH355" s="19"/>
      <c r="AJ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8"/>
      <c r="BE355" s="18"/>
      <c r="BG355" s="18"/>
      <c r="BI355" s="18"/>
      <c r="BK355" s="18"/>
      <c r="BM355" s="18"/>
      <c r="BO355" s="18"/>
    </row>
    <row r="356" spans="28:67" ht="11.25" customHeight="1">
      <c r="AC356" s="18"/>
      <c r="AE356" s="18"/>
      <c r="AG356" s="18"/>
      <c r="AI356" s="18"/>
      <c r="AK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9"/>
      <c r="BE356" s="19"/>
      <c r="BG356" s="19"/>
      <c r="BI356" s="19"/>
      <c r="BK356" s="19"/>
      <c r="BM356" s="19"/>
      <c r="BO356" s="19"/>
    </row>
    <row r="357" spans="28:67" ht="11.25" customHeight="1">
      <c r="AC357" s="18"/>
      <c r="AE357" s="18"/>
      <c r="AG357" s="18"/>
      <c r="AI357" s="18"/>
      <c r="AK357" s="18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9"/>
      <c r="BC357" s="19"/>
      <c r="BE357" s="19"/>
      <c r="BG357" s="19"/>
      <c r="BI357" s="19"/>
      <c r="BK357" s="19"/>
      <c r="BM357" s="19"/>
      <c r="BO357" s="19"/>
    </row>
    <row r="358" spans="28:67" ht="11.25" customHeight="1">
      <c r="AC358" s="19"/>
      <c r="AE358" s="19"/>
      <c r="AG358" s="19"/>
      <c r="AI358" s="19"/>
      <c r="AK358" s="19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D358" s="18"/>
      <c r="BF358" s="18"/>
      <c r="BH358" s="18"/>
      <c r="BJ358" s="18"/>
      <c r="BL358" s="18"/>
      <c r="BN358" s="18"/>
    </row>
    <row r="359" spans="28:67" ht="11.25" customHeight="1">
      <c r="AC359" s="19"/>
      <c r="AE359" s="19"/>
      <c r="AG359" s="19"/>
      <c r="AI359" s="19"/>
      <c r="AK359" s="19"/>
      <c r="AM359" s="19"/>
      <c r="BD359" s="18"/>
      <c r="BF359" s="18"/>
      <c r="BH359" s="18"/>
      <c r="BJ359" s="18"/>
      <c r="BL359" s="18"/>
      <c r="BN359" s="18"/>
    </row>
    <row r="360" spans="28:67" ht="11.25" customHeight="1">
      <c r="AD360" s="18"/>
      <c r="AF360" s="18"/>
      <c r="AH360" s="18"/>
      <c r="AJ360" s="18"/>
      <c r="AL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D360" s="19"/>
      <c r="BF360" s="19"/>
      <c r="BH360" s="19"/>
      <c r="BJ360" s="19"/>
      <c r="BL360" s="19"/>
      <c r="BN360" s="19"/>
    </row>
    <row r="361" spans="28:67" ht="11.25" customHeight="1">
      <c r="AD361" s="18"/>
      <c r="AF361" s="18"/>
      <c r="AH361" s="18"/>
      <c r="AJ361" s="18"/>
      <c r="AL361" s="18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D361" s="19"/>
      <c r="BF361" s="19"/>
      <c r="BH361" s="19"/>
      <c r="BJ361" s="19"/>
      <c r="BL361" s="19"/>
      <c r="BN361" s="19"/>
    </row>
    <row r="362" spans="28:67" ht="11.25" customHeight="1">
      <c r="AD362" s="19"/>
      <c r="AF362" s="19"/>
      <c r="AH362" s="19"/>
      <c r="AJ362" s="19"/>
      <c r="AL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8"/>
      <c r="BE362" s="18"/>
      <c r="BG362" s="18"/>
      <c r="BI362" s="18"/>
      <c r="BK362" s="18"/>
      <c r="BM362" s="18"/>
      <c r="BO362" s="18"/>
    </row>
    <row r="363" spans="28:67" ht="11.25" customHeight="1">
      <c r="AD363" s="19"/>
      <c r="AF363" s="19"/>
      <c r="AH363" s="19"/>
      <c r="AJ363" s="19"/>
      <c r="AL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8"/>
      <c r="BE363" s="18"/>
      <c r="BG363" s="18"/>
      <c r="BI363" s="18"/>
      <c r="BK363" s="18"/>
      <c r="BM363" s="18"/>
      <c r="BO363" s="18"/>
    </row>
    <row r="364" spans="28:67" ht="11.25" customHeight="1">
      <c r="AE364" s="18"/>
      <c r="AG364" s="18"/>
      <c r="AI364" s="18"/>
      <c r="AK364" s="18"/>
      <c r="AM364" s="18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E364" s="19"/>
      <c r="BG364" s="19"/>
      <c r="BI364" s="19"/>
      <c r="BK364" s="19"/>
      <c r="BM364" s="19"/>
      <c r="BO364" s="19"/>
    </row>
    <row r="365" spans="28:67" ht="11.25" customHeight="1">
      <c r="AE365" s="18"/>
      <c r="AG365" s="18"/>
      <c r="AI365" s="18"/>
      <c r="AK365" s="18"/>
      <c r="AM365" s="18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E365" s="19"/>
      <c r="BG365" s="19"/>
      <c r="BI365" s="19"/>
      <c r="BK365" s="19"/>
      <c r="BM365" s="19"/>
      <c r="BO365" s="19"/>
    </row>
    <row r="366" spans="28:67" ht="11.25" customHeight="1">
      <c r="AE366" s="19"/>
      <c r="AG366" s="19"/>
      <c r="AI366" s="19"/>
      <c r="AK366" s="19"/>
      <c r="AM366" s="19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D366" s="18"/>
      <c r="BF366" s="18"/>
      <c r="BH366" s="18"/>
      <c r="BJ366" s="18"/>
      <c r="BL366" s="18"/>
      <c r="BN366" s="18"/>
    </row>
    <row r="367" spans="28:67" ht="11.25" customHeight="1">
      <c r="AE367" s="19"/>
      <c r="AG367" s="19"/>
      <c r="AI367" s="19"/>
      <c r="AK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D367" s="18"/>
      <c r="BF367" s="18"/>
      <c r="BH367" s="18"/>
      <c r="BJ367" s="18"/>
      <c r="BL367" s="18"/>
      <c r="BN367" s="18"/>
    </row>
    <row r="368" spans="28:67" ht="11.25" customHeight="1">
      <c r="AF368" s="18"/>
      <c r="AH368" s="18"/>
      <c r="AJ368" s="18"/>
      <c r="AL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D368" s="19"/>
      <c r="BF368" s="19"/>
      <c r="BH368" s="19"/>
      <c r="BJ368" s="19"/>
      <c r="BL368" s="19"/>
      <c r="BN368" s="19"/>
    </row>
    <row r="369" spans="32:67" ht="11.25" customHeight="1">
      <c r="AF369" s="18"/>
      <c r="AH369" s="18"/>
      <c r="AJ369" s="18"/>
      <c r="AL369" s="18"/>
      <c r="AN369" s="18"/>
      <c r="BD369" s="19"/>
      <c r="BF369" s="19"/>
      <c r="BH369" s="19"/>
      <c r="BJ369" s="19"/>
      <c r="BL369" s="19"/>
      <c r="BN369" s="19"/>
    </row>
    <row r="370" spans="32:67" ht="11.25" customHeight="1">
      <c r="AF370" s="19"/>
      <c r="AH370" s="19"/>
      <c r="AJ370" s="19"/>
      <c r="AL370" s="19"/>
      <c r="AN370" s="19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E370" s="18"/>
      <c r="BG370" s="18"/>
      <c r="BI370" s="18"/>
      <c r="BK370" s="18"/>
      <c r="BM370" s="18"/>
      <c r="BO370" s="18"/>
    </row>
    <row r="371" spans="32:67" ht="11.25" customHeight="1">
      <c r="AF371" s="19"/>
      <c r="AH371" s="19"/>
      <c r="AJ371" s="19"/>
      <c r="AL371" s="19"/>
      <c r="AN371" s="19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18"/>
      <c r="BE371" s="18"/>
      <c r="BG371" s="18"/>
      <c r="BI371" s="18"/>
      <c r="BK371" s="18"/>
      <c r="BM371" s="18"/>
      <c r="BO371" s="18"/>
    </row>
    <row r="372" spans="32:67" ht="11.25" customHeight="1">
      <c r="AG372" s="18"/>
      <c r="AI372" s="18"/>
      <c r="AK372" s="18"/>
      <c r="AM372" s="18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E372" s="19"/>
      <c r="BG372" s="19"/>
      <c r="BI372" s="19"/>
      <c r="BK372" s="19"/>
      <c r="BM372" s="19"/>
      <c r="BO372" s="19"/>
    </row>
    <row r="373" spans="32:67" ht="11.25" customHeight="1">
      <c r="AG373" s="18"/>
      <c r="AI373" s="18"/>
      <c r="AK373" s="18"/>
      <c r="AM373" s="18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9"/>
      <c r="BC373" s="19"/>
      <c r="BE373" s="19"/>
      <c r="BG373" s="19"/>
      <c r="BI373" s="19"/>
      <c r="BK373" s="19"/>
      <c r="BM373" s="19"/>
      <c r="BO373" s="19"/>
    </row>
    <row r="374" spans="32:67" ht="11.25" customHeight="1">
      <c r="AG374" s="19"/>
      <c r="AI374" s="19"/>
      <c r="AK374" s="19"/>
      <c r="AM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D374" s="18"/>
      <c r="BF374" s="18"/>
      <c r="BH374" s="18"/>
      <c r="BJ374" s="18"/>
      <c r="BL374" s="18"/>
      <c r="BN374" s="18"/>
    </row>
    <row r="375" spans="32:67" ht="11.25" customHeight="1">
      <c r="AG375" s="19"/>
      <c r="AI375" s="19"/>
      <c r="AK375" s="19"/>
      <c r="AM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D375" s="18"/>
      <c r="BF375" s="18"/>
      <c r="BH375" s="18"/>
      <c r="BJ375" s="18"/>
      <c r="BL375" s="18"/>
      <c r="BN375" s="18"/>
    </row>
    <row r="376" spans="32:67" ht="11.25" customHeight="1">
      <c r="AH376" s="18"/>
      <c r="AJ376" s="18"/>
      <c r="AL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D376" s="19"/>
      <c r="BF376" s="19"/>
      <c r="BH376" s="19"/>
      <c r="BJ376" s="19"/>
      <c r="BL376" s="19"/>
      <c r="BN376" s="19"/>
    </row>
    <row r="377" spans="32:67" ht="11.25" customHeight="1">
      <c r="AH377" s="18"/>
      <c r="AJ377" s="18"/>
      <c r="AL377" s="18"/>
      <c r="AN377" s="18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D377" s="19"/>
      <c r="BF377" s="19"/>
      <c r="BH377" s="19"/>
      <c r="BJ377" s="19"/>
      <c r="BL377" s="19"/>
      <c r="BN377" s="19"/>
    </row>
    <row r="378" spans="32:67" ht="11.25" customHeight="1">
      <c r="AH378" s="19"/>
      <c r="AJ378" s="19"/>
      <c r="AL378" s="19"/>
      <c r="AN378" s="19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E378" s="18"/>
      <c r="BG378" s="18"/>
      <c r="BI378" s="18"/>
      <c r="BK378" s="18"/>
      <c r="BM378" s="18"/>
      <c r="BO378" s="18"/>
    </row>
    <row r="379" spans="32:67" ht="11.25" customHeight="1">
      <c r="AH379" s="19"/>
      <c r="AJ379" s="19"/>
      <c r="AL379" s="19"/>
      <c r="AN379" s="19"/>
      <c r="BC379" s="18"/>
      <c r="BE379" s="18"/>
      <c r="BG379" s="18"/>
      <c r="BI379" s="18"/>
      <c r="BK379" s="18"/>
      <c r="BM379" s="18"/>
      <c r="BO379" s="18"/>
    </row>
    <row r="380" spans="32:67" ht="11.25" customHeight="1">
      <c r="AI380" s="18"/>
      <c r="AK380" s="18"/>
      <c r="AM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9"/>
      <c r="BE380" s="19"/>
      <c r="BG380" s="19"/>
      <c r="BI380" s="19"/>
      <c r="BK380" s="19"/>
      <c r="BM380" s="19"/>
      <c r="BO380" s="19"/>
    </row>
    <row r="381" spans="32:67" ht="11.25" customHeight="1">
      <c r="AI381" s="18"/>
      <c r="AK381" s="18"/>
      <c r="AM381" s="18"/>
      <c r="AO381" s="18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19"/>
      <c r="BE381" s="19"/>
      <c r="BG381" s="19"/>
      <c r="BI381" s="19"/>
      <c r="BK381" s="19"/>
      <c r="BM381" s="19"/>
      <c r="BO381" s="19"/>
    </row>
    <row r="382" spans="32:67" ht="11.25" customHeight="1">
      <c r="AI382" s="19"/>
      <c r="AK382" s="19"/>
      <c r="AM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D382" s="18"/>
      <c r="BF382" s="18"/>
      <c r="BH382" s="18"/>
      <c r="BJ382" s="18"/>
      <c r="BL382" s="18"/>
      <c r="BN382" s="18"/>
    </row>
    <row r="383" spans="32:67" ht="11.25" customHeight="1">
      <c r="AI383" s="19"/>
      <c r="AK383" s="19"/>
      <c r="AM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9"/>
      <c r="BD383" s="18"/>
      <c r="BF383" s="18"/>
      <c r="BH383" s="18"/>
      <c r="BJ383" s="18"/>
      <c r="BL383" s="18"/>
      <c r="BN383" s="18"/>
    </row>
    <row r="384" spans="32:67" ht="11.25" customHeight="1">
      <c r="AJ384" s="18"/>
      <c r="AL384" s="18"/>
      <c r="AN384" s="18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D384" s="19"/>
      <c r="BF384" s="19"/>
      <c r="BH384" s="19"/>
      <c r="BJ384" s="19"/>
      <c r="BL384" s="19"/>
      <c r="BN384" s="19"/>
    </row>
    <row r="385" spans="36:67" ht="11.25" customHeight="1">
      <c r="AJ385" s="18"/>
      <c r="AL385" s="18"/>
      <c r="AN385" s="18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9"/>
      <c r="BD385" s="19"/>
      <c r="BF385" s="19"/>
      <c r="BH385" s="19"/>
      <c r="BJ385" s="19"/>
      <c r="BL385" s="19"/>
      <c r="BN385" s="19"/>
    </row>
    <row r="386" spans="36:67" ht="11.25" customHeight="1">
      <c r="AJ386" s="19"/>
      <c r="AL386" s="19"/>
      <c r="AN386" s="19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E386" s="18"/>
      <c r="BG386" s="18"/>
      <c r="BI386" s="18"/>
      <c r="BK386" s="18"/>
      <c r="BM386" s="18"/>
      <c r="BO386" s="18"/>
    </row>
    <row r="387" spans="36:67" ht="11.25" customHeight="1">
      <c r="AJ387" s="19"/>
      <c r="AL387" s="19"/>
      <c r="AN387" s="19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9"/>
      <c r="BC387" s="18"/>
      <c r="BE387" s="18"/>
      <c r="BG387" s="18"/>
      <c r="BI387" s="18"/>
      <c r="BK387" s="18"/>
      <c r="BM387" s="18"/>
      <c r="BO387" s="18"/>
    </row>
    <row r="388" spans="36:67" ht="11.25" customHeight="1">
      <c r="AK388" s="18"/>
      <c r="AM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9"/>
      <c r="BE388" s="19"/>
      <c r="BG388" s="19"/>
      <c r="BI388" s="19"/>
      <c r="BK388" s="19"/>
      <c r="BM388" s="19"/>
      <c r="BO388" s="19"/>
    </row>
    <row r="389" spans="36:67" ht="11.25" customHeight="1">
      <c r="AK389" s="18"/>
      <c r="AM389" s="18"/>
      <c r="AO389" s="18"/>
      <c r="BC389" s="19"/>
      <c r="BE389" s="19"/>
      <c r="BG389" s="19"/>
      <c r="BI389" s="19"/>
      <c r="BK389" s="19"/>
      <c r="BM389" s="19"/>
      <c r="BO389" s="19"/>
    </row>
    <row r="390" spans="36:67" ht="11.25" customHeight="1">
      <c r="AK390" s="19"/>
      <c r="AM390" s="19"/>
      <c r="AO390" s="19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D390" s="18"/>
      <c r="BF390" s="18"/>
      <c r="BH390" s="18"/>
      <c r="BJ390" s="18"/>
      <c r="BL390" s="18"/>
      <c r="BN390" s="18"/>
    </row>
    <row r="391" spans="36:67" ht="11.25" customHeight="1">
      <c r="AK391" s="19"/>
      <c r="AM391" s="19"/>
      <c r="AO391" s="19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D391" s="18"/>
      <c r="BF391" s="18"/>
      <c r="BH391" s="18"/>
      <c r="BJ391" s="18"/>
      <c r="BL391" s="18"/>
      <c r="BN391" s="18"/>
    </row>
    <row r="392" spans="36:67" ht="11.25" customHeight="1">
      <c r="AL392" s="18"/>
      <c r="AN392" s="18"/>
      <c r="AP392" s="18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D392" s="19"/>
      <c r="BF392" s="19"/>
      <c r="BH392" s="19"/>
      <c r="BJ392" s="19"/>
      <c r="BL392" s="19"/>
      <c r="BN392" s="19"/>
    </row>
    <row r="393" spans="36:67" ht="11.25" customHeight="1">
      <c r="AL393" s="18"/>
      <c r="AN393" s="18"/>
      <c r="AP393" s="18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9"/>
      <c r="BD393" s="19"/>
      <c r="BF393" s="19"/>
      <c r="BH393" s="19"/>
      <c r="BJ393" s="19"/>
      <c r="BL393" s="19"/>
      <c r="BN393" s="19"/>
    </row>
    <row r="394" spans="36:67" ht="11.25" customHeight="1">
      <c r="AL394" s="19"/>
      <c r="AN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8"/>
      <c r="BE394" s="18"/>
      <c r="BG394" s="18"/>
      <c r="BI394" s="18"/>
      <c r="BK394" s="18"/>
      <c r="BM394" s="18"/>
      <c r="BO394" s="18"/>
    </row>
    <row r="395" spans="36:67" ht="11.25" customHeight="1">
      <c r="AL395" s="19"/>
      <c r="AN395" s="19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9"/>
      <c r="BC395" s="18"/>
      <c r="BE395" s="18"/>
      <c r="BG395" s="18"/>
      <c r="BI395" s="18"/>
      <c r="BK395" s="18"/>
      <c r="BM395" s="18"/>
      <c r="BO395" s="18"/>
    </row>
    <row r="396" spans="36:67" ht="11.25" customHeight="1">
      <c r="AM396" s="18"/>
      <c r="AO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9"/>
      <c r="BE396" s="19"/>
      <c r="BG396" s="19"/>
      <c r="BI396" s="19"/>
      <c r="BK396" s="19"/>
      <c r="BM396" s="19"/>
      <c r="BO396" s="19"/>
    </row>
    <row r="397" spans="36:67" ht="11.25" customHeight="1">
      <c r="AM397" s="18"/>
      <c r="AO397" s="18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9"/>
      <c r="BC397" s="19"/>
      <c r="BE397" s="19"/>
      <c r="BG397" s="19"/>
      <c r="BI397" s="19"/>
      <c r="BK397" s="19"/>
      <c r="BM397" s="19"/>
      <c r="BO397" s="19"/>
    </row>
    <row r="398" spans="36:67" ht="11.25" customHeight="1">
      <c r="AM398" s="19"/>
      <c r="AO398" s="19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D398" s="18"/>
      <c r="BF398" s="18"/>
      <c r="BH398" s="18"/>
      <c r="BJ398" s="18"/>
      <c r="BL398" s="18"/>
      <c r="BN398" s="18"/>
    </row>
    <row r="399" spans="36:67" ht="11.25" customHeight="1">
      <c r="AM399" s="19"/>
      <c r="AO399" s="19"/>
      <c r="AQ399" s="19"/>
      <c r="BD399" s="18"/>
      <c r="BF399" s="18"/>
      <c r="BH399" s="18"/>
      <c r="BJ399" s="18"/>
      <c r="BL399" s="18"/>
      <c r="BN399" s="18"/>
    </row>
    <row r="400" spans="36:67" ht="11.25" customHeight="1">
      <c r="AN400" s="18"/>
      <c r="AP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D400" s="19"/>
      <c r="BF400" s="19"/>
      <c r="BH400" s="19"/>
      <c r="BJ400" s="19"/>
      <c r="BL400" s="19"/>
      <c r="BN400" s="19"/>
    </row>
    <row r="401" spans="40:67" ht="11.25" customHeight="1">
      <c r="AN401" s="18"/>
      <c r="AP401" s="18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D401" s="19"/>
      <c r="BF401" s="19"/>
      <c r="BH401" s="19"/>
      <c r="BJ401" s="19"/>
      <c r="BL401" s="19"/>
      <c r="BN401" s="19"/>
    </row>
    <row r="402" spans="40:67" ht="11.25" customHeight="1">
      <c r="AN402" s="19"/>
      <c r="AP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8"/>
      <c r="BE402" s="18"/>
      <c r="BG402" s="18"/>
      <c r="BI402" s="18"/>
      <c r="BK402" s="18"/>
      <c r="BM402" s="18"/>
      <c r="BO402" s="18"/>
    </row>
    <row r="403" spans="40:67" ht="11.25" customHeight="1">
      <c r="AN403" s="19"/>
      <c r="AP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9"/>
      <c r="BC403" s="18"/>
      <c r="BE403" s="18"/>
      <c r="BG403" s="18"/>
      <c r="BI403" s="18"/>
      <c r="BK403" s="18"/>
      <c r="BM403" s="18"/>
      <c r="BO403" s="18"/>
    </row>
    <row r="404" spans="40:67" ht="11.25" customHeight="1">
      <c r="AO404" s="18"/>
      <c r="AQ404" s="18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E404" s="19"/>
      <c r="BG404" s="19"/>
      <c r="BI404" s="19"/>
      <c r="BK404" s="19"/>
      <c r="BM404" s="19"/>
      <c r="BO404" s="19"/>
    </row>
    <row r="405" spans="40:67" ht="11.25" customHeight="1">
      <c r="AO405" s="18"/>
      <c r="AQ405" s="18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9"/>
      <c r="BC405" s="19"/>
      <c r="BE405" s="19"/>
      <c r="BG405" s="19"/>
      <c r="BI405" s="19"/>
      <c r="BK405" s="19"/>
      <c r="BM405" s="19"/>
      <c r="BO405" s="19"/>
    </row>
    <row r="406" spans="40:67" ht="11.25" customHeight="1">
      <c r="AO406" s="19"/>
      <c r="AQ406" s="19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D406" s="18"/>
      <c r="BF406" s="18"/>
      <c r="BH406" s="18"/>
      <c r="BJ406" s="18"/>
      <c r="BL406" s="18"/>
      <c r="BN406" s="18"/>
    </row>
    <row r="407" spans="40:67" ht="11.25" customHeight="1">
      <c r="AO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9"/>
      <c r="BD407" s="18"/>
      <c r="BF407" s="18"/>
      <c r="BH407" s="18"/>
      <c r="BJ407" s="18"/>
      <c r="BL407" s="18"/>
      <c r="BN407" s="18"/>
    </row>
    <row r="408" spans="40:67" ht="11.25" customHeight="1">
      <c r="AP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D408" s="19"/>
      <c r="BF408" s="19"/>
      <c r="BH408" s="19"/>
      <c r="BJ408" s="19"/>
      <c r="BL408" s="19"/>
      <c r="BN408" s="19"/>
    </row>
    <row r="409" spans="40:67" ht="11.25" customHeight="1">
      <c r="AP409" s="18"/>
      <c r="AR409" s="18"/>
      <c r="BD409" s="19"/>
      <c r="BF409" s="19"/>
      <c r="BH409" s="19"/>
      <c r="BJ409" s="19"/>
      <c r="BL409" s="19"/>
      <c r="BN409" s="19"/>
    </row>
    <row r="410" spans="40:67" ht="11.25" customHeight="1">
      <c r="AP410" s="19"/>
      <c r="AR410" s="19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E410" s="18"/>
      <c r="BG410" s="18"/>
      <c r="BI410" s="18"/>
      <c r="BK410" s="18"/>
      <c r="BM410" s="18"/>
      <c r="BO410" s="18"/>
    </row>
    <row r="411" spans="40:67" ht="11.25" customHeight="1">
      <c r="AP411" s="19"/>
      <c r="AR411" s="19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18"/>
      <c r="BE411" s="18"/>
      <c r="BG411" s="18"/>
      <c r="BI411" s="18"/>
      <c r="BK411" s="18"/>
      <c r="BM411" s="18"/>
      <c r="BO411" s="18"/>
    </row>
    <row r="412" spans="40:67" ht="11.25" customHeight="1">
      <c r="AQ412" s="18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E412" s="19"/>
      <c r="BG412" s="19"/>
      <c r="BI412" s="19"/>
      <c r="BK412" s="19"/>
      <c r="BM412" s="19"/>
      <c r="BO412" s="19"/>
    </row>
    <row r="413" spans="40:67" ht="11.25" customHeight="1">
      <c r="AQ413" s="18"/>
      <c r="AS413" s="19"/>
      <c r="AT413" s="19"/>
      <c r="AU413" s="19"/>
      <c r="AV413" s="19"/>
      <c r="AW413" s="19"/>
      <c r="AX413" s="19"/>
      <c r="AY413" s="19"/>
      <c r="AZ413" s="19"/>
      <c r="BA413" s="19"/>
      <c r="BB413" s="19"/>
      <c r="BC413" s="19"/>
      <c r="BE413" s="19"/>
      <c r="BG413" s="19"/>
      <c r="BI413" s="19"/>
      <c r="BK413" s="19"/>
      <c r="BM413" s="19"/>
      <c r="BO413" s="19"/>
    </row>
    <row r="414" spans="40:67" ht="11.25" customHeight="1">
      <c r="AQ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D414" s="18"/>
      <c r="BF414" s="18"/>
      <c r="BH414" s="18"/>
      <c r="BJ414" s="18"/>
      <c r="BL414" s="18"/>
      <c r="BN414" s="18"/>
    </row>
    <row r="415" spans="40:67" ht="11.25" customHeight="1">
      <c r="AQ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9"/>
      <c r="BD415" s="18"/>
      <c r="BF415" s="18"/>
      <c r="BH415" s="18"/>
      <c r="BJ415" s="18"/>
      <c r="BL415" s="18"/>
      <c r="BN415" s="18"/>
    </row>
    <row r="416" spans="40:67" ht="11.25" customHeight="1"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D416" s="19"/>
      <c r="BF416" s="19"/>
      <c r="BH416" s="19"/>
      <c r="BJ416" s="19"/>
      <c r="BL416" s="19"/>
      <c r="BN416" s="19"/>
    </row>
    <row r="417" spans="44:67" ht="11.25" customHeight="1">
      <c r="AR417" s="18"/>
      <c r="AS417" s="19"/>
      <c r="AT417" s="19"/>
      <c r="AU417" s="19"/>
      <c r="AV417" s="19"/>
      <c r="AW417" s="19"/>
      <c r="AX417" s="19"/>
      <c r="AY417" s="19"/>
      <c r="AZ417" s="19"/>
      <c r="BA417" s="19"/>
      <c r="BB417" s="19"/>
      <c r="BD417" s="19"/>
      <c r="BF417" s="19"/>
      <c r="BH417" s="19"/>
      <c r="BJ417" s="19"/>
      <c r="BL417" s="19"/>
      <c r="BN417" s="19"/>
    </row>
    <row r="418" spans="44:67" ht="11.25" customHeight="1">
      <c r="AR418" s="19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E418" s="18"/>
      <c r="BG418" s="18"/>
      <c r="BI418" s="18"/>
      <c r="BK418" s="18"/>
      <c r="BM418" s="18"/>
      <c r="BO418" s="18"/>
    </row>
    <row r="419" spans="44:67" ht="11.25" customHeight="1">
      <c r="AR419" s="19"/>
      <c r="BC419" s="18"/>
      <c r="BE419" s="18"/>
      <c r="BG419" s="18"/>
      <c r="BI419" s="18"/>
      <c r="BK419" s="18"/>
      <c r="BM419" s="18"/>
      <c r="BO419" s="18"/>
    </row>
    <row r="420" spans="44:67" ht="11.25" customHeight="1"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9"/>
      <c r="BE420" s="19"/>
      <c r="BG420" s="19"/>
      <c r="BI420" s="19"/>
      <c r="BK420" s="19"/>
      <c r="BM420" s="19"/>
      <c r="BO420" s="19"/>
    </row>
    <row r="421" spans="44:67" ht="11.25" customHeight="1">
      <c r="AS421" s="18"/>
      <c r="AT421" s="21"/>
      <c r="AU421" s="21"/>
      <c r="AV421" s="21"/>
      <c r="AW421" s="21"/>
      <c r="AX421" s="21"/>
      <c r="AY421" s="21"/>
      <c r="AZ421" s="21"/>
      <c r="BA421" s="21"/>
      <c r="BB421" s="21"/>
      <c r="BC421" s="19"/>
      <c r="BE421" s="19"/>
      <c r="BG421" s="19"/>
      <c r="BI421" s="19"/>
      <c r="BK421" s="19"/>
      <c r="BM421" s="19"/>
      <c r="BO421" s="19"/>
    </row>
    <row r="422" spans="44:67" ht="11.25" customHeight="1"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D422" s="18"/>
      <c r="BF422" s="18"/>
      <c r="BH422" s="18"/>
      <c r="BJ422" s="18"/>
      <c r="BL422" s="18"/>
      <c r="BN422" s="18"/>
    </row>
    <row r="423" spans="44:67" ht="11.25" customHeight="1">
      <c r="AS423" s="19"/>
      <c r="AT423" s="19"/>
      <c r="AU423" s="19"/>
      <c r="AV423" s="19"/>
      <c r="AW423" s="19"/>
      <c r="AX423" s="19"/>
      <c r="AY423" s="19"/>
      <c r="AZ423" s="19"/>
      <c r="BA423" s="19"/>
      <c r="BB423" s="19"/>
      <c r="BD423" s="18"/>
      <c r="BF423" s="18"/>
      <c r="BH423" s="18"/>
      <c r="BJ423" s="18"/>
      <c r="BL423" s="18"/>
      <c r="BN423" s="18"/>
    </row>
    <row r="424" spans="44:67" ht="11.25" customHeight="1">
      <c r="AT424" s="19"/>
      <c r="AU424" s="19"/>
      <c r="AV424" s="19"/>
      <c r="AW424" s="19"/>
      <c r="AX424" s="19"/>
      <c r="AY424" s="19"/>
      <c r="AZ424" s="19"/>
      <c r="BA424" s="19"/>
      <c r="BB424" s="19"/>
      <c r="BD424" s="19"/>
      <c r="BF424" s="19"/>
      <c r="BH424" s="19"/>
      <c r="BJ424" s="19"/>
      <c r="BL424" s="19"/>
      <c r="BN424" s="19"/>
    </row>
    <row r="425" spans="44:67" ht="11.25" customHeight="1">
      <c r="AT425" s="19"/>
      <c r="AU425" s="19"/>
      <c r="AV425" s="19"/>
      <c r="AW425" s="19"/>
      <c r="AX425" s="19"/>
      <c r="AY425" s="19"/>
      <c r="AZ425" s="19"/>
      <c r="BA425" s="19"/>
      <c r="BB425" s="19"/>
      <c r="BD425" s="19"/>
      <c r="BF425" s="19"/>
      <c r="BH425" s="19"/>
      <c r="BJ425" s="19"/>
      <c r="BL425" s="19"/>
      <c r="BN425" s="19"/>
    </row>
    <row r="426" spans="44:67" ht="11.25" customHeight="1"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E426" s="18"/>
      <c r="BG426" s="18"/>
      <c r="BI426" s="18"/>
      <c r="BK426" s="18"/>
      <c r="BM426" s="18"/>
      <c r="BO426" s="18"/>
    </row>
    <row r="427" spans="44:67" ht="11.25" customHeight="1">
      <c r="AT427" s="19"/>
      <c r="AU427" s="19"/>
      <c r="AV427" s="19"/>
      <c r="AW427" s="19"/>
      <c r="AX427" s="19"/>
      <c r="AY427" s="19"/>
      <c r="AZ427" s="19"/>
      <c r="BA427" s="19"/>
      <c r="BB427" s="19"/>
      <c r="BC427" s="18"/>
      <c r="BE427" s="18"/>
      <c r="BG427" s="18"/>
      <c r="BI427" s="18"/>
      <c r="BK427" s="18"/>
      <c r="BM427" s="18"/>
      <c r="BO427" s="18"/>
    </row>
    <row r="428" spans="44:67" ht="11.25" customHeight="1">
      <c r="AT428" s="18"/>
      <c r="AU428" s="18"/>
      <c r="AV428" s="18"/>
      <c r="AW428" s="18"/>
      <c r="AX428" s="18"/>
      <c r="AY428" s="18"/>
      <c r="AZ428" s="18"/>
      <c r="BA428" s="18"/>
      <c r="BB428" s="18"/>
      <c r="BC428" s="19"/>
      <c r="BE428" s="19"/>
      <c r="BG428" s="19"/>
      <c r="BI428" s="19"/>
      <c r="BK428" s="19"/>
      <c r="BM428" s="19"/>
      <c r="BO428" s="19"/>
    </row>
    <row r="429" spans="44:67" ht="11.25" customHeight="1">
      <c r="BC429" s="19"/>
      <c r="BE429" s="19"/>
      <c r="BG429" s="19"/>
      <c r="BI429" s="19"/>
      <c r="BK429" s="19"/>
      <c r="BM429" s="19"/>
      <c r="BO429" s="19"/>
    </row>
    <row r="430" spans="44:67" ht="11.25" customHeight="1">
      <c r="AV430" s="18"/>
      <c r="AW430" s="18"/>
      <c r="AX430" s="18"/>
      <c r="AY430" s="18"/>
      <c r="AZ430" s="18"/>
      <c r="BA430" s="18"/>
      <c r="BB430" s="18"/>
      <c r="BD430" s="18"/>
      <c r="BF430" s="18"/>
      <c r="BH430" s="18"/>
      <c r="BJ430" s="18"/>
      <c r="BL430" s="18"/>
      <c r="BN430" s="18"/>
    </row>
    <row r="431" spans="44:67" ht="11.25" customHeight="1">
      <c r="AV431" s="21"/>
      <c r="AW431" s="21"/>
      <c r="AX431" s="21"/>
      <c r="AY431" s="21"/>
      <c r="AZ431" s="21"/>
      <c r="BA431" s="21"/>
      <c r="BB431" s="21"/>
      <c r="BD431" s="18"/>
      <c r="BF431" s="18"/>
      <c r="BH431" s="18"/>
      <c r="BJ431" s="18"/>
      <c r="BL431" s="18"/>
      <c r="BN431" s="18"/>
    </row>
    <row r="432" spans="44:67" ht="11.25" customHeight="1">
      <c r="AV432" s="19"/>
      <c r="AW432" s="19"/>
      <c r="AX432" s="19"/>
      <c r="AY432" s="19"/>
      <c r="AZ432" s="19"/>
      <c r="BA432" s="19"/>
      <c r="BB432" s="19"/>
      <c r="BD432" s="19"/>
      <c r="BF432" s="19"/>
      <c r="BH432" s="19"/>
      <c r="BJ432" s="19"/>
      <c r="BL432" s="19"/>
      <c r="BN432" s="19"/>
    </row>
    <row r="433" spans="48:67" ht="11.25" customHeight="1">
      <c r="AV433" s="19"/>
      <c r="AW433" s="19"/>
      <c r="AX433" s="19"/>
      <c r="AY433" s="19"/>
      <c r="AZ433" s="19"/>
      <c r="BA433" s="19"/>
      <c r="BB433" s="19"/>
      <c r="BD433" s="19"/>
      <c r="BF433" s="19"/>
      <c r="BH433" s="19"/>
      <c r="BJ433" s="19"/>
      <c r="BL433" s="19"/>
      <c r="BN433" s="19"/>
    </row>
    <row r="434" spans="48:67" ht="11.25" customHeight="1">
      <c r="AV434" s="19"/>
      <c r="AW434" s="19"/>
      <c r="AX434" s="19"/>
      <c r="AY434" s="19"/>
      <c r="AZ434" s="19"/>
      <c r="BA434" s="19"/>
      <c r="BB434" s="19"/>
      <c r="BC434" s="18"/>
      <c r="BE434" s="18"/>
      <c r="BG434" s="18"/>
      <c r="BI434" s="18"/>
      <c r="BK434" s="18"/>
      <c r="BM434" s="18"/>
      <c r="BO434" s="18"/>
    </row>
    <row r="435" spans="48:67" ht="11.25" customHeight="1">
      <c r="AV435" s="19"/>
      <c r="AW435" s="19"/>
      <c r="AX435" s="19"/>
      <c r="AY435" s="19"/>
      <c r="AZ435" s="19"/>
      <c r="BA435" s="19"/>
      <c r="BB435" s="19"/>
      <c r="BC435" s="18"/>
      <c r="BE435" s="18"/>
      <c r="BG435" s="18"/>
      <c r="BI435" s="18"/>
      <c r="BK435" s="18"/>
      <c r="BM435" s="18"/>
      <c r="BO435" s="18"/>
    </row>
    <row r="436" spans="48:67" ht="11.25" customHeight="1">
      <c r="AV436" s="18"/>
      <c r="AW436" s="18"/>
      <c r="AX436" s="18"/>
      <c r="AY436" s="18"/>
      <c r="AZ436" s="18"/>
      <c r="BA436" s="18"/>
      <c r="BB436" s="18"/>
      <c r="BC436" s="19"/>
      <c r="BE436" s="19"/>
      <c r="BG436" s="19"/>
      <c r="BI436" s="19"/>
      <c r="BK436" s="19"/>
      <c r="BM436" s="19"/>
      <c r="BO436" s="19"/>
    </row>
    <row r="437" spans="48:67" ht="11.25" customHeight="1">
      <c r="AV437" s="19"/>
      <c r="AW437" s="19"/>
      <c r="AX437" s="19"/>
      <c r="AY437" s="19"/>
      <c r="AZ437" s="19"/>
      <c r="BA437" s="19"/>
      <c r="BB437" s="19"/>
      <c r="BC437" s="19"/>
      <c r="BE437" s="19"/>
      <c r="BG437" s="19"/>
      <c r="BI437" s="19"/>
      <c r="BK437" s="19"/>
      <c r="BM437" s="19"/>
      <c r="BO437" s="19"/>
    </row>
    <row r="438" spans="48:67" ht="11.25" customHeight="1">
      <c r="AV438" s="18"/>
      <c r="AW438" s="18"/>
      <c r="AX438" s="18"/>
      <c r="AY438" s="18"/>
      <c r="AZ438" s="18"/>
      <c r="BA438" s="18"/>
      <c r="BB438" s="18"/>
      <c r="BD438" s="18"/>
      <c r="BF438" s="18"/>
      <c r="BH438" s="18"/>
      <c r="BJ438" s="18"/>
      <c r="BL438" s="18"/>
      <c r="BN438" s="18"/>
    </row>
    <row r="439" spans="48:67" ht="11.25" customHeight="1">
      <c r="BD439" s="18"/>
      <c r="BF439" s="18"/>
      <c r="BH439" s="18"/>
      <c r="BJ439" s="18"/>
      <c r="BL439" s="18"/>
      <c r="BN439" s="18"/>
    </row>
    <row r="440" spans="48:67" ht="11.25" customHeight="1">
      <c r="AW440" s="18"/>
      <c r="AX440" s="18"/>
      <c r="AY440" s="18"/>
      <c r="AZ440" s="18"/>
      <c r="BA440" s="18"/>
      <c r="BB440" s="18"/>
      <c r="BD440" s="19"/>
      <c r="BF440" s="19"/>
      <c r="BH440" s="19"/>
      <c r="BJ440" s="19"/>
      <c r="BL440" s="19"/>
      <c r="BN440" s="19"/>
    </row>
    <row r="441" spans="48:67" ht="11.25" customHeight="1">
      <c r="AW441" s="21"/>
      <c r="AX441" s="21"/>
      <c r="AY441" s="21"/>
      <c r="AZ441" s="21"/>
      <c r="BA441" s="21"/>
      <c r="BB441" s="21"/>
      <c r="BD441" s="19"/>
      <c r="BF441" s="19"/>
      <c r="BH441" s="19"/>
      <c r="BJ441" s="19"/>
      <c r="BL441" s="19"/>
      <c r="BN441" s="19"/>
    </row>
    <row r="442" spans="48:67" ht="11.25" customHeight="1">
      <c r="AW442" s="19"/>
      <c r="AX442" s="19"/>
      <c r="AY442" s="19"/>
      <c r="AZ442" s="19"/>
      <c r="BA442" s="19"/>
      <c r="BB442" s="19"/>
      <c r="BC442" s="18"/>
      <c r="BE442" s="18"/>
      <c r="BG442" s="18"/>
      <c r="BI442" s="18"/>
      <c r="BK442" s="18"/>
      <c r="BM442" s="18"/>
      <c r="BO442" s="18"/>
    </row>
    <row r="443" spans="48:67" ht="11.25" customHeight="1">
      <c r="AW443" s="19"/>
      <c r="AX443" s="19"/>
      <c r="AY443" s="19"/>
      <c r="AZ443" s="19"/>
      <c r="BA443" s="19"/>
      <c r="BB443" s="19"/>
      <c r="BC443" s="18"/>
      <c r="BE443" s="18"/>
      <c r="BG443" s="18"/>
      <c r="BI443" s="18"/>
      <c r="BK443" s="18"/>
      <c r="BM443" s="18"/>
      <c r="BO443" s="18"/>
    </row>
    <row r="444" spans="48:67" ht="11.25" customHeight="1">
      <c r="AW444" s="19"/>
      <c r="AX444" s="19"/>
      <c r="AY444" s="19"/>
      <c r="AZ444" s="19"/>
      <c r="BA444" s="19"/>
      <c r="BB444" s="19"/>
      <c r="BC444" s="19"/>
      <c r="BE444" s="19"/>
      <c r="BG444" s="19"/>
      <c r="BI444" s="19"/>
      <c r="BK444" s="19"/>
      <c r="BM444" s="19"/>
      <c r="BO444" s="19"/>
    </row>
    <row r="445" spans="48:67" ht="11.25" customHeight="1">
      <c r="AW445" s="19"/>
      <c r="AX445" s="19"/>
      <c r="AY445" s="19"/>
      <c r="AZ445" s="19"/>
      <c r="BA445" s="19"/>
      <c r="BB445" s="19"/>
      <c r="BC445" s="19"/>
      <c r="BE445" s="19"/>
      <c r="BG445" s="19"/>
      <c r="BI445" s="19"/>
      <c r="BK445" s="19"/>
      <c r="BM445" s="19"/>
      <c r="BO445" s="19"/>
    </row>
    <row r="446" spans="48:67" ht="11.25" customHeight="1">
      <c r="AW446" s="18"/>
      <c r="AX446" s="18"/>
      <c r="AY446" s="18"/>
      <c r="AZ446" s="18"/>
      <c r="BA446" s="18"/>
      <c r="BB446" s="18"/>
      <c r="BD446" s="18"/>
      <c r="BF446" s="18"/>
      <c r="BH446" s="18"/>
      <c r="BJ446" s="18"/>
      <c r="BL446" s="18"/>
      <c r="BN446" s="18"/>
    </row>
    <row r="447" spans="48:67" ht="11.25" customHeight="1">
      <c r="AW447" s="19"/>
      <c r="AX447" s="19"/>
      <c r="AY447" s="19"/>
      <c r="AZ447" s="19"/>
      <c r="BA447" s="19"/>
      <c r="BB447" s="19"/>
      <c r="BD447" s="18"/>
      <c r="BF447" s="18"/>
      <c r="BH447" s="18"/>
      <c r="BJ447" s="18"/>
      <c r="BL447" s="18"/>
      <c r="BN447" s="18"/>
    </row>
    <row r="448" spans="48:67" ht="11.25" customHeight="1">
      <c r="AW448" s="18"/>
      <c r="AX448" s="18"/>
      <c r="AY448" s="18"/>
      <c r="AZ448" s="18"/>
      <c r="BA448" s="18"/>
      <c r="BB448" s="18"/>
      <c r="BD448" s="19"/>
      <c r="BF448" s="19"/>
      <c r="BH448" s="19"/>
      <c r="BJ448" s="19"/>
      <c r="BL448" s="19"/>
      <c r="BN448" s="19"/>
    </row>
    <row r="449" spans="50:67" ht="11.25" customHeight="1">
      <c r="BD449" s="19"/>
      <c r="BF449" s="19"/>
      <c r="BH449" s="19"/>
      <c r="BJ449" s="19"/>
      <c r="BL449" s="19"/>
      <c r="BN449" s="19"/>
    </row>
    <row r="450" spans="50:67" ht="11.25" customHeight="1">
      <c r="AX450" s="18"/>
      <c r="AY450" s="18"/>
      <c r="AZ450" s="18"/>
      <c r="BA450" s="18"/>
      <c r="BB450" s="18"/>
      <c r="BC450" s="18"/>
      <c r="BE450" s="18"/>
      <c r="BG450" s="18"/>
      <c r="BI450" s="18"/>
      <c r="BK450" s="18"/>
      <c r="BM450" s="18"/>
      <c r="BO450" s="18"/>
    </row>
    <row r="451" spans="50:67" ht="11.25" customHeight="1">
      <c r="AX451" s="21"/>
      <c r="AY451" s="21"/>
      <c r="AZ451" s="21"/>
      <c r="BA451" s="21"/>
      <c r="BB451" s="21"/>
      <c r="BC451" s="18"/>
      <c r="BE451" s="18"/>
      <c r="BG451" s="18"/>
      <c r="BI451" s="18"/>
      <c r="BK451" s="18"/>
      <c r="BM451" s="18"/>
      <c r="BO451" s="18"/>
    </row>
    <row r="452" spans="50:67" ht="11.25" customHeight="1">
      <c r="AX452" s="19"/>
      <c r="AY452" s="19"/>
      <c r="AZ452" s="19"/>
      <c r="BA452" s="19"/>
      <c r="BB452" s="19"/>
      <c r="BC452" s="19"/>
      <c r="BE452" s="19"/>
      <c r="BG452" s="19"/>
      <c r="BI452" s="19"/>
      <c r="BK452" s="19"/>
      <c r="BM452" s="19"/>
      <c r="BO452" s="19"/>
    </row>
    <row r="453" spans="50:67" ht="11.25" customHeight="1">
      <c r="AX453" s="19"/>
      <c r="AY453" s="19"/>
      <c r="AZ453" s="19"/>
      <c r="BA453" s="19"/>
      <c r="BB453" s="19"/>
      <c r="BC453" s="19"/>
      <c r="BE453" s="19"/>
      <c r="BG453" s="19"/>
      <c r="BI453" s="19"/>
      <c r="BK453" s="19"/>
      <c r="BM453" s="19"/>
      <c r="BO453" s="19"/>
    </row>
    <row r="454" spans="50:67" ht="11.25" customHeight="1">
      <c r="AX454" s="19"/>
      <c r="AY454" s="19"/>
      <c r="AZ454" s="19"/>
      <c r="BA454" s="19"/>
      <c r="BB454" s="19"/>
      <c r="BD454" s="18"/>
      <c r="BF454" s="18"/>
      <c r="BH454" s="18"/>
      <c r="BJ454" s="18"/>
      <c r="BL454" s="18"/>
      <c r="BN454" s="18"/>
    </row>
    <row r="455" spans="50:67" ht="11.25" customHeight="1">
      <c r="AX455" s="19"/>
      <c r="AY455" s="19"/>
      <c r="AZ455" s="19"/>
      <c r="BA455" s="19"/>
      <c r="BB455" s="19"/>
      <c r="BD455" s="18"/>
      <c r="BF455" s="18"/>
      <c r="BH455" s="18"/>
      <c r="BJ455" s="18"/>
      <c r="BL455" s="18"/>
      <c r="BN455" s="18"/>
    </row>
    <row r="456" spans="50:67" ht="11.25" customHeight="1">
      <c r="AX456" s="18"/>
      <c r="AY456" s="18"/>
      <c r="AZ456" s="18"/>
      <c r="BA456" s="18"/>
      <c r="BB456" s="18"/>
      <c r="BD456" s="19"/>
      <c r="BF456" s="19"/>
      <c r="BH456" s="19"/>
      <c r="BJ456" s="19"/>
      <c r="BL456" s="19"/>
      <c r="BN456" s="19"/>
    </row>
    <row r="457" spans="50:67" ht="11.25" customHeight="1">
      <c r="AX457" s="19"/>
      <c r="AY457" s="19"/>
      <c r="AZ457" s="19"/>
      <c r="BA457" s="19"/>
      <c r="BB457" s="19"/>
      <c r="BD457" s="19"/>
      <c r="BF457" s="19"/>
      <c r="BH457" s="19"/>
      <c r="BJ457" s="19"/>
      <c r="BL457" s="19"/>
      <c r="BN457" s="19"/>
    </row>
    <row r="458" spans="50:67" ht="11.25" customHeight="1">
      <c r="AX458" s="18"/>
      <c r="AY458" s="18"/>
      <c r="AZ458" s="18"/>
      <c r="BA458" s="18"/>
      <c r="BB458" s="18"/>
      <c r="BE458" s="18"/>
      <c r="BG458" s="18"/>
      <c r="BI458" s="18"/>
      <c r="BK458" s="18"/>
      <c r="BM458" s="18"/>
      <c r="BO458" s="18"/>
    </row>
    <row r="459" spans="50:67" ht="11.25" customHeight="1">
      <c r="BE459" s="18"/>
      <c r="BG459" s="18"/>
      <c r="BI459" s="18"/>
      <c r="BK459" s="18"/>
      <c r="BM459" s="18"/>
      <c r="BO459" s="18"/>
    </row>
    <row r="460" spans="50:67" ht="11.25" customHeight="1">
      <c r="AY460" s="18"/>
      <c r="AZ460" s="18"/>
      <c r="BA460" s="18"/>
      <c r="BB460" s="18"/>
      <c r="BE460" s="19"/>
      <c r="BG460" s="19"/>
      <c r="BI460" s="19"/>
      <c r="BK460" s="19"/>
      <c r="BM460" s="19"/>
      <c r="BO460" s="19"/>
    </row>
    <row r="461" spans="50:67" ht="11.25" customHeight="1">
      <c r="AY461" s="21"/>
      <c r="AZ461" s="21"/>
      <c r="BA461" s="21"/>
      <c r="BB461" s="21"/>
      <c r="BE461" s="19"/>
      <c r="BG461" s="19"/>
      <c r="BI461" s="19"/>
      <c r="BK461" s="19"/>
      <c r="BM461" s="19"/>
      <c r="BO461" s="19"/>
    </row>
    <row r="462" spans="50:67" ht="11.25" customHeight="1">
      <c r="AY462" s="19"/>
      <c r="AZ462" s="19"/>
      <c r="BA462" s="19"/>
      <c r="BB462" s="19"/>
      <c r="BF462" s="18"/>
      <c r="BH462" s="18"/>
      <c r="BJ462" s="18"/>
      <c r="BL462" s="18"/>
      <c r="BN462" s="18"/>
    </row>
    <row r="463" spans="50:67" ht="11.25" customHeight="1">
      <c r="AY463" s="19"/>
      <c r="AZ463" s="19"/>
      <c r="BA463" s="19"/>
      <c r="BB463" s="19"/>
      <c r="BF463" s="18"/>
      <c r="BH463" s="18"/>
      <c r="BJ463" s="18"/>
      <c r="BL463" s="18"/>
      <c r="BN463" s="18"/>
    </row>
    <row r="464" spans="50:67" ht="11.25" customHeight="1">
      <c r="AY464" s="19"/>
      <c r="AZ464" s="19"/>
      <c r="BA464" s="19"/>
      <c r="BB464" s="19"/>
      <c r="BF464" s="19"/>
      <c r="BH464" s="19"/>
      <c r="BJ464" s="19"/>
      <c r="BL464" s="19"/>
      <c r="BN464" s="19"/>
    </row>
    <row r="465" spans="51:67" ht="11.25" customHeight="1">
      <c r="AY465" s="19"/>
      <c r="AZ465" s="19"/>
      <c r="BA465" s="19"/>
      <c r="BB465" s="19"/>
      <c r="BF465" s="19"/>
      <c r="BH465" s="19"/>
      <c r="BJ465" s="19"/>
      <c r="BL465" s="19"/>
      <c r="BN465" s="19"/>
    </row>
    <row r="466" spans="51:67" ht="11.25" customHeight="1">
      <c r="AY466" s="18"/>
      <c r="AZ466" s="18"/>
      <c r="BA466" s="18"/>
      <c r="BB466" s="18"/>
      <c r="BG466" s="18"/>
      <c r="BI466" s="18"/>
      <c r="BK466" s="18"/>
      <c r="BM466" s="18"/>
      <c r="BO466" s="18"/>
    </row>
    <row r="467" spans="51:67" ht="11.25" customHeight="1">
      <c r="AY467" s="19"/>
      <c r="AZ467" s="19"/>
      <c r="BA467" s="19"/>
      <c r="BB467" s="19"/>
      <c r="BG467" s="18"/>
      <c r="BI467" s="18"/>
      <c r="BK467" s="18"/>
      <c r="BM467" s="18"/>
      <c r="BO467" s="18"/>
    </row>
    <row r="468" spans="51:67" ht="11.25" customHeight="1">
      <c r="AY468" s="18"/>
      <c r="AZ468" s="18"/>
      <c r="BA468" s="18"/>
      <c r="BB468" s="18"/>
      <c r="BG468" s="19"/>
      <c r="BI468" s="19"/>
      <c r="BK468" s="19"/>
      <c r="BM468" s="19"/>
      <c r="BO468" s="19"/>
    </row>
    <row r="469" spans="51:67" ht="11.25" customHeight="1">
      <c r="BG469" s="19"/>
      <c r="BI469" s="19"/>
      <c r="BK469" s="19"/>
      <c r="BM469" s="19"/>
      <c r="BO469" s="19"/>
    </row>
    <row r="470" spans="51:67" ht="11.25" customHeight="1">
      <c r="AZ470" s="18"/>
      <c r="BA470" s="18"/>
      <c r="BB470" s="18"/>
      <c r="BH470" s="18"/>
      <c r="BJ470" s="18"/>
      <c r="BL470" s="18"/>
      <c r="BN470" s="18"/>
    </row>
    <row r="471" spans="51:67" ht="11.25" customHeight="1">
      <c r="AZ471" s="21"/>
      <c r="BA471" s="21"/>
      <c r="BB471" s="21"/>
      <c r="BH471" s="18"/>
      <c r="BJ471" s="18"/>
      <c r="BL471" s="18"/>
      <c r="BN471" s="18"/>
    </row>
    <row r="472" spans="51:67" ht="11.25" customHeight="1">
      <c r="AZ472" s="19"/>
      <c r="BA472" s="19"/>
      <c r="BB472" s="19"/>
      <c r="BH472" s="19"/>
      <c r="BJ472" s="19"/>
      <c r="BL472" s="19"/>
      <c r="BN472" s="19"/>
    </row>
    <row r="473" spans="51:67" ht="11.25" customHeight="1">
      <c r="AZ473" s="19"/>
      <c r="BA473" s="19"/>
      <c r="BB473" s="19"/>
      <c r="BH473" s="19"/>
      <c r="BJ473" s="19"/>
      <c r="BL473" s="19"/>
      <c r="BN473" s="19"/>
    </row>
    <row r="474" spans="51:67" ht="11.25" customHeight="1">
      <c r="AZ474" s="19"/>
      <c r="BA474" s="19"/>
      <c r="BB474" s="19"/>
      <c r="BI474" s="18"/>
      <c r="BK474" s="18"/>
      <c r="BM474" s="18"/>
      <c r="BO474" s="18"/>
    </row>
    <row r="475" spans="51:67" ht="11.25" customHeight="1">
      <c r="AZ475" s="19"/>
      <c r="BA475" s="19"/>
      <c r="BB475" s="19"/>
      <c r="BI475" s="18"/>
      <c r="BK475" s="18"/>
      <c r="BM475" s="18"/>
      <c r="BO475" s="18"/>
    </row>
    <row r="476" spans="51:67" ht="11.25" customHeight="1">
      <c r="AZ476" s="18"/>
      <c r="BA476" s="18"/>
      <c r="BB476" s="18"/>
      <c r="BI476" s="19"/>
      <c r="BK476" s="19"/>
      <c r="BM476" s="19"/>
      <c r="BO476" s="19"/>
    </row>
    <row r="477" spans="51:67" ht="11.25" customHeight="1">
      <c r="AZ477" s="19"/>
      <c r="BA477" s="19"/>
      <c r="BB477" s="19"/>
      <c r="BI477" s="19"/>
      <c r="BK477" s="19"/>
      <c r="BM477" s="19"/>
      <c r="BO477" s="19"/>
    </row>
    <row r="478" spans="51:67" ht="11.25" customHeight="1">
      <c r="AZ478" s="18"/>
      <c r="BA478" s="18"/>
      <c r="BB478" s="18"/>
      <c r="BJ478" s="18"/>
      <c r="BL478" s="18"/>
      <c r="BN478" s="18"/>
    </row>
    <row r="479" spans="51:67" ht="11.25" customHeight="1">
      <c r="BJ479" s="18"/>
      <c r="BL479" s="18"/>
      <c r="BN479" s="18"/>
    </row>
    <row r="480" spans="51:67" ht="11.25" customHeight="1">
      <c r="BA480" s="18"/>
      <c r="BB480" s="18"/>
      <c r="BJ480" s="19"/>
      <c r="BL480" s="19"/>
      <c r="BN480" s="19"/>
    </row>
    <row r="481" spans="53:67" ht="11.25" customHeight="1">
      <c r="BA481" s="21"/>
      <c r="BB481" s="21"/>
      <c r="BJ481" s="19"/>
      <c r="BL481" s="19"/>
      <c r="BN481" s="19"/>
    </row>
    <row r="482" spans="53:67" ht="11.25" customHeight="1">
      <c r="BA482" s="19"/>
      <c r="BB482" s="19"/>
      <c r="BK482" s="18"/>
      <c r="BM482" s="18"/>
      <c r="BO482" s="18"/>
    </row>
    <row r="483" spans="53:67" ht="11.25" customHeight="1">
      <c r="BA483" s="19"/>
      <c r="BB483" s="19"/>
      <c r="BK483" s="18"/>
      <c r="BM483" s="18"/>
      <c r="BO483" s="18"/>
    </row>
    <row r="484" spans="53:67" ht="11.25" customHeight="1">
      <c r="BA484" s="19"/>
      <c r="BB484" s="19"/>
      <c r="BK484" s="19"/>
      <c r="BM484" s="19"/>
      <c r="BO484" s="19"/>
    </row>
    <row r="485" spans="53:67" ht="11.25" customHeight="1">
      <c r="BA485" s="19"/>
      <c r="BB485" s="19"/>
      <c r="BK485" s="19"/>
      <c r="BM485" s="19"/>
      <c r="BO485" s="19"/>
    </row>
    <row r="486" spans="53:67" ht="11.25" customHeight="1">
      <c r="BA486" s="18"/>
      <c r="BB486" s="18"/>
      <c r="BL486" s="18"/>
      <c r="BN486" s="18"/>
    </row>
    <row r="487" spans="53:67" ht="11.25" customHeight="1">
      <c r="BA487" s="19"/>
      <c r="BB487" s="19"/>
      <c r="BL487" s="18"/>
      <c r="BN487" s="18"/>
    </row>
    <row r="488" spans="53:67" ht="11.25" customHeight="1">
      <c r="BA488" s="18"/>
      <c r="BB488" s="18"/>
      <c r="BL488" s="19"/>
      <c r="BN488" s="19"/>
    </row>
    <row r="489" spans="53:67" ht="11.25" customHeight="1">
      <c r="BL489" s="19"/>
      <c r="BN489" s="19"/>
    </row>
    <row r="490" spans="53:67" ht="11.25" customHeight="1">
      <c r="BB490" s="18"/>
      <c r="BM490" s="18"/>
      <c r="BO490" s="18"/>
    </row>
    <row r="491" spans="53:67" ht="11.25" customHeight="1">
      <c r="BB491" s="21"/>
      <c r="BM491" s="18"/>
      <c r="BO491" s="18"/>
    </row>
    <row r="492" spans="53:67" ht="11.25" customHeight="1">
      <c r="BB492" s="19"/>
      <c r="BM492" s="19"/>
      <c r="BO492" s="19"/>
    </row>
    <row r="493" spans="53:67" ht="11.25" customHeight="1">
      <c r="BB493" s="19"/>
      <c r="BM493" s="19"/>
      <c r="BO493" s="19"/>
    </row>
    <row r="494" spans="53:67" ht="11.25" customHeight="1">
      <c r="BB494" s="19"/>
      <c r="BN494" s="18"/>
    </row>
    <row r="495" spans="53:67" ht="11.25" customHeight="1">
      <c r="BB495" s="19"/>
      <c r="BN495" s="18"/>
    </row>
    <row r="496" spans="53:67" ht="11.25" customHeight="1">
      <c r="BB496" s="18"/>
      <c r="BN496" s="19"/>
    </row>
    <row r="497" spans="54:67" ht="11.25" customHeight="1">
      <c r="BB497" s="19"/>
      <c r="BN497" s="19"/>
    </row>
    <row r="498" spans="54:67" ht="11.25" customHeight="1">
      <c r="BB498" s="18"/>
      <c r="BO498" s="18"/>
    </row>
    <row r="499" spans="54:67" ht="11.25" customHeight="1">
      <c r="BO499" s="18"/>
    </row>
    <row r="500" spans="54:67" ht="11.25" customHeight="1">
      <c r="BO500" s="19"/>
    </row>
    <row r="501" spans="54:67" ht="11.25" customHeight="1">
      <c r="BO501" s="19"/>
    </row>
    <row r="502" spans="54:67" ht="11.25" customHeight="1"/>
    <row r="503" spans="54:67" ht="11.25" customHeight="1"/>
    <row r="504" spans="54:67" ht="11.25" customHeight="1"/>
    <row r="505" spans="54:67" ht="11.25" customHeight="1"/>
    <row r="506" spans="54:67" ht="11.25" customHeight="1"/>
    <row r="507" spans="54:67" ht="11.25" customHeight="1"/>
    <row r="508" spans="54:67" ht="11.25" customHeight="1"/>
    <row r="509" spans="54:67" ht="11.25" customHeight="1"/>
    <row r="510" spans="54:67" ht="11.25" customHeight="1"/>
    <row r="511" spans="54:67" ht="11.25" customHeight="1"/>
    <row r="512" spans="54:67" ht="11.25" customHeight="1"/>
    <row r="513" ht="11.25" customHeight="1"/>
    <row r="514" ht="11.25" customHeight="1"/>
    <row r="515" ht="11.25" customHeight="1"/>
    <row r="516" ht="11.25" customHeight="1"/>
    <row r="517" ht="11.25" customHeight="1"/>
    <row r="518" ht="11.25" customHeight="1"/>
    <row r="519" ht="11.25" customHeight="1"/>
    <row r="520" ht="11.25" customHeight="1"/>
    <row r="521" ht="11.25" customHeight="1"/>
    <row r="522" ht="11.25" customHeight="1"/>
    <row r="523" ht="11.25" customHeight="1"/>
    <row r="524" ht="11.25" customHeight="1"/>
    <row r="525" ht="11.25" customHeight="1"/>
    <row r="526" ht="11.25" customHeight="1"/>
    <row r="527" ht="11.25" customHeight="1"/>
    <row r="528" ht="11.25" customHeight="1"/>
    <row r="529" ht="11.25" customHeight="1"/>
    <row r="530" ht="11.25" customHeight="1"/>
    <row r="531" ht="11.25" customHeight="1"/>
    <row r="532" ht="11.25" customHeight="1"/>
    <row r="533" ht="11.25" customHeight="1"/>
    <row r="534" ht="11.25" customHeight="1"/>
    <row r="535" ht="11.25" customHeight="1"/>
    <row r="536" ht="11.25" customHeight="1"/>
    <row r="537" ht="11.25" customHeight="1"/>
    <row r="538" ht="11.25" customHeight="1"/>
    <row r="539" ht="11.25" customHeight="1"/>
    <row r="540" ht="11.25" customHeight="1"/>
    <row r="541" ht="11.25" customHeight="1"/>
    <row r="542" ht="11.25" customHeight="1"/>
    <row r="543" ht="11.25" customHeight="1"/>
    <row r="544" ht="11.25" customHeight="1"/>
    <row r="545" ht="11.25" customHeight="1"/>
    <row r="546" ht="11.25" customHeight="1"/>
    <row r="547" ht="11.25" customHeight="1"/>
    <row r="548" ht="11.25" customHeight="1"/>
    <row r="549" ht="11.25" customHeight="1"/>
    <row r="550" ht="11.25" customHeight="1"/>
    <row r="551" ht="11.25" customHeight="1"/>
    <row r="552" ht="11.25" customHeight="1"/>
    <row r="553" ht="11.25" customHeight="1"/>
    <row r="554" ht="11.25" customHeight="1"/>
    <row r="555" ht="11.25" customHeight="1"/>
    <row r="556" ht="11.25" customHeight="1"/>
    <row r="557" ht="11.25" customHeight="1"/>
    <row r="558" ht="11.25" customHeight="1"/>
    <row r="559" ht="11.25" customHeight="1"/>
    <row r="560" ht="11.25" customHeight="1"/>
    <row r="561" ht="11.25" customHeight="1"/>
    <row r="562" ht="11.25" customHeight="1"/>
    <row r="563" ht="11.25" customHeight="1"/>
    <row r="564" ht="11.25" customHeight="1"/>
    <row r="565" ht="11.25" customHeight="1"/>
    <row r="566" ht="11.25" customHeight="1"/>
    <row r="567" ht="11.25" customHeight="1"/>
    <row r="568" ht="11.25" customHeight="1"/>
    <row r="569" ht="11.25" customHeight="1"/>
    <row r="570" ht="11.25" customHeight="1"/>
    <row r="571" ht="11.25" customHeight="1"/>
    <row r="572" ht="11.25" customHeight="1"/>
    <row r="573" ht="11.25" customHeight="1"/>
    <row r="574" ht="11.25" customHeight="1"/>
    <row r="575" ht="11.25" customHeight="1"/>
    <row r="576" ht="11.25" customHeight="1"/>
    <row r="577" ht="11.25" customHeight="1"/>
    <row r="578" ht="11.25" customHeight="1"/>
    <row r="579" ht="11.25" customHeight="1"/>
    <row r="580" ht="11.25" customHeight="1"/>
    <row r="581" ht="11.25" customHeight="1"/>
    <row r="582" ht="11.25" customHeight="1"/>
    <row r="583" ht="11.25" customHeight="1"/>
    <row r="584" ht="11.25" customHeight="1"/>
    <row r="585" ht="11.25" customHeight="1"/>
    <row r="586" ht="11.25" customHeight="1"/>
    <row r="587" ht="11.25" customHeight="1"/>
    <row r="588" ht="11.25" customHeight="1"/>
    <row r="589" ht="11.25" customHeight="1"/>
    <row r="590" ht="11.25" customHeight="1"/>
    <row r="591" ht="11.25" customHeight="1"/>
    <row r="592" ht="11.25" customHeight="1"/>
    <row r="593" ht="11.25" customHeight="1"/>
    <row r="594" ht="11.25" customHeight="1"/>
    <row r="595" ht="11.25" customHeight="1"/>
    <row r="596" ht="11.25" customHeight="1"/>
    <row r="597" ht="11.25" customHeight="1"/>
    <row r="598" ht="11.25" customHeight="1"/>
    <row r="599" ht="11.25" customHeight="1"/>
    <row r="600" ht="11.25" customHeight="1"/>
    <row r="601" ht="11.25" customHeight="1"/>
    <row r="602" ht="11.25" customHeight="1"/>
    <row r="603" ht="11.25" customHeight="1"/>
    <row r="604" ht="11.25" customHeight="1"/>
    <row r="605" ht="11.25" customHeight="1"/>
    <row r="606" ht="11.25" customHeight="1"/>
    <row r="607" ht="11.25" customHeight="1"/>
    <row r="608" ht="11.25" customHeight="1"/>
    <row r="609" ht="11.25" customHeight="1"/>
    <row r="610" ht="11.25" customHeight="1"/>
    <row r="611" ht="11.25" customHeight="1"/>
    <row r="612" ht="11.25" customHeight="1"/>
    <row r="613" ht="11.25" customHeight="1"/>
    <row r="614" ht="11.25" customHeight="1"/>
    <row r="615" ht="11.25" customHeight="1"/>
    <row r="616" ht="11.25" customHeight="1"/>
    <row r="617" ht="11.25" customHeight="1"/>
    <row r="618" ht="11.25" customHeight="1"/>
    <row r="619" ht="11.25" customHeight="1"/>
    <row r="620" ht="11.25" customHeight="1"/>
    <row r="621" ht="11.25" customHeight="1"/>
    <row r="622" ht="11.25" customHeight="1"/>
    <row r="623" ht="11.25" customHeight="1"/>
    <row r="624" ht="11.25" customHeight="1"/>
    <row r="625" ht="11.25" customHeight="1"/>
    <row r="626" ht="11.25" customHeight="1"/>
    <row r="627" ht="11.25" customHeight="1"/>
    <row r="628" ht="11.25" customHeight="1"/>
    <row r="629" ht="11.25" customHeight="1"/>
    <row r="630" ht="11.25" customHeight="1"/>
    <row r="631" ht="11.25" customHeight="1"/>
    <row r="632" ht="11.25" customHeight="1"/>
    <row r="633" ht="11.25" customHeight="1"/>
    <row r="634" ht="11.25" customHeight="1"/>
    <row r="635" ht="11.25" customHeight="1"/>
    <row r="636" ht="11.25" customHeight="1"/>
    <row r="637" ht="11.25" customHeight="1"/>
    <row r="638" ht="11.25" customHeight="1"/>
    <row r="639" ht="11.25" customHeight="1"/>
    <row r="640" ht="11.25" customHeight="1"/>
    <row r="641" ht="11.25" customHeight="1"/>
    <row r="642" ht="11.25" customHeight="1"/>
    <row r="643" ht="11.25" customHeight="1"/>
    <row r="644" ht="11.25" customHeight="1"/>
    <row r="645" ht="11.25" customHeight="1"/>
    <row r="646" ht="11.25" customHeight="1"/>
    <row r="647" ht="11.25" customHeight="1"/>
    <row r="648" ht="11.25" customHeight="1"/>
    <row r="649" ht="11.25" customHeight="1"/>
    <row r="650" ht="11.25" customHeight="1"/>
    <row r="651" ht="11.25" customHeight="1"/>
    <row r="652" ht="11.25" customHeight="1"/>
    <row r="653" ht="11.25" customHeight="1"/>
    <row r="654" ht="11.25" customHeight="1"/>
    <row r="655" ht="11.25" customHeight="1"/>
    <row r="656" ht="11.25" customHeight="1"/>
    <row r="657" ht="11.25" customHeight="1"/>
    <row r="658" ht="11.25" customHeight="1"/>
    <row r="659" ht="11.25" customHeight="1"/>
    <row r="660" ht="11.25" customHeight="1"/>
    <row r="661" ht="11.25" customHeight="1"/>
    <row r="662" ht="11.25" customHeight="1"/>
    <row r="663" ht="11.25" customHeight="1"/>
    <row r="664" ht="11.25" customHeight="1"/>
    <row r="665" ht="11.25" customHeight="1"/>
    <row r="666" ht="11.25" customHeight="1"/>
    <row r="667" ht="11.25" customHeight="1"/>
    <row r="668" ht="11.25" customHeight="1"/>
    <row r="669" ht="11.25" customHeight="1"/>
    <row r="670" ht="11.25" customHeight="1"/>
    <row r="671" ht="11.25" customHeight="1"/>
    <row r="672" ht="11.25" customHeight="1"/>
    <row r="673" ht="11.25" customHeight="1"/>
    <row r="674" ht="11.25" customHeight="1"/>
    <row r="675" ht="11.25" customHeight="1"/>
    <row r="676" ht="11.25" customHeight="1"/>
    <row r="677" ht="11.25" customHeight="1"/>
    <row r="678" ht="11.25" customHeight="1"/>
    <row r="679" ht="11.25" customHeight="1"/>
    <row r="680" ht="11.25" customHeight="1"/>
    <row r="681" ht="11.25" customHeight="1"/>
    <row r="682" ht="11.25" customHeight="1"/>
    <row r="683" ht="11.25" customHeight="1"/>
    <row r="684" ht="11.25" customHeight="1"/>
    <row r="685" ht="11.25" customHeight="1"/>
    <row r="686" ht="11.25" customHeight="1"/>
    <row r="687" ht="11.25" customHeight="1"/>
    <row r="688" ht="11.25" customHeight="1"/>
    <row r="689" ht="11.25" customHeight="1"/>
    <row r="690" ht="11.25" customHeight="1"/>
    <row r="691" ht="11.25" customHeight="1"/>
    <row r="692" ht="11.25" customHeight="1"/>
    <row r="693" ht="11.25" customHeight="1"/>
    <row r="694" ht="11.25" customHeight="1"/>
    <row r="695" ht="11.25" customHeight="1"/>
    <row r="696" ht="11.25" customHeight="1"/>
    <row r="697" ht="11.25" customHeight="1"/>
    <row r="698" ht="11.25" customHeight="1"/>
    <row r="699" ht="11.25" customHeight="1"/>
    <row r="700" ht="11.25" customHeight="1"/>
    <row r="701" ht="11.25" customHeight="1"/>
    <row r="702" ht="11.25" customHeight="1"/>
    <row r="703" ht="11.25" customHeight="1"/>
    <row r="704" ht="11.25" customHeight="1"/>
    <row r="705" spans="65:67" ht="11.25" customHeight="1"/>
    <row r="706" spans="65:67" ht="11.25" customHeight="1"/>
    <row r="707" spans="65:67" ht="11.25" customHeight="1">
      <c r="BO707" s="17"/>
    </row>
    <row r="708" spans="65:67" ht="11.25" customHeight="1">
      <c r="BO708" s="18"/>
    </row>
    <row r="709" spans="65:67" ht="11.25" customHeight="1">
      <c r="BO709" s="18"/>
    </row>
    <row r="710" spans="65:67" ht="11.25" customHeight="1">
      <c r="BO710" s="19"/>
    </row>
    <row r="711" spans="65:67" ht="11.25" customHeight="1">
      <c r="BO711" s="19"/>
    </row>
    <row r="712" spans="65:67" ht="11.25" customHeight="1">
      <c r="BN712" s="17"/>
      <c r="BO712" s="19"/>
    </row>
    <row r="713" spans="65:67" ht="11.25" customHeight="1">
      <c r="BN713" s="18"/>
    </row>
    <row r="714" spans="65:67" ht="11.25" customHeight="1">
      <c r="BN714" s="18"/>
    </row>
    <row r="715" spans="65:67" ht="11.25" customHeight="1">
      <c r="BN715" s="19"/>
    </row>
    <row r="716" spans="65:67" ht="11.25" customHeight="1">
      <c r="BN716" s="19"/>
    </row>
    <row r="717" spans="65:67" ht="11.25" customHeight="1">
      <c r="BM717" s="17"/>
      <c r="BN717" s="19"/>
    </row>
    <row r="718" spans="65:67" ht="11.25" customHeight="1">
      <c r="BM718" s="18"/>
      <c r="BO718" s="18"/>
    </row>
    <row r="719" spans="65:67" ht="11.25" customHeight="1">
      <c r="BM719" s="18"/>
      <c r="BO719" s="18"/>
    </row>
    <row r="720" spans="65:67" ht="11.25" customHeight="1">
      <c r="BM720" s="19"/>
      <c r="BO720" s="19"/>
    </row>
    <row r="721" spans="62:67" ht="11.25" customHeight="1">
      <c r="BM721" s="19"/>
      <c r="BO721" s="19"/>
    </row>
    <row r="722" spans="62:67" ht="11.25" customHeight="1">
      <c r="BL722" s="17"/>
      <c r="BM722" s="19"/>
      <c r="BO722" s="19"/>
    </row>
    <row r="723" spans="62:67" ht="11.25" customHeight="1">
      <c r="BL723" s="18"/>
      <c r="BN723" s="18"/>
    </row>
    <row r="724" spans="62:67" ht="11.25" customHeight="1">
      <c r="BL724" s="18"/>
      <c r="BN724" s="18"/>
    </row>
    <row r="725" spans="62:67" ht="11.25" customHeight="1">
      <c r="BL725" s="19"/>
      <c r="BN725" s="19"/>
    </row>
    <row r="726" spans="62:67" ht="11.25" customHeight="1">
      <c r="BL726" s="19"/>
      <c r="BN726" s="19"/>
    </row>
    <row r="727" spans="62:67" ht="11.25" customHeight="1">
      <c r="BK727" s="17"/>
      <c r="BL727" s="19"/>
      <c r="BN727" s="19"/>
    </row>
    <row r="728" spans="62:67" ht="11.25" customHeight="1">
      <c r="BK728" s="18"/>
      <c r="BM728" s="18"/>
      <c r="BO728" s="18"/>
    </row>
    <row r="729" spans="62:67" ht="11.25" customHeight="1">
      <c r="BK729" s="18"/>
      <c r="BM729" s="18"/>
      <c r="BO729" s="18"/>
    </row>
    <row r="730" spans="62:67" ht="11.25" customHeight="1">
      <c r="BK730" s="19"/>
      <c r="BM730" s="19"/>
      <c r="BO730" s="19"/>
    </row>
    <row r="731" spans="62:67" ht="11.25" customHeight="1">
      <c r="BK731" s="19"/>
      <c r="BM731" s="19"/>
      <c r="BO731" s="19"/>
    </row>
    <row r="732" spans="62:67" ht="11.25" customHeight="1">
      <c r="BJ732" s="17"/>
      <c r="BK732" s="19"/>
      <c r="BM732" s="19"/>
      <c r="BO732" s="19"/>
    </row>
    <row r="733" spans="62:67" ht="11.25" customHeight="1">
      <c r="BJ733" s="18"/>
      <c r="BL733" s="18"/>
      <c r="BN733" s="18"/>
    </row>
    <row r="734" spans="62:67" ht="11.25" customHeight="1">
      <c r="BJ734" s="18"/>
      <c r="BL734" s="18"/>
      <c r="BN734" s="18"/>
    </row>
    <row r="735" spans="62:67" ht="11.25" customHeight="1">
      <c r="BJ735" s="19"/>
      <c r="BL735" s="19"/>
      <c r="BN735" s="19"/>
    </row>
    <row r="736" spans="62:67" ht="11.25" customHeight="1">
      <c r="BJ736" s="19"/>
      <c r="BL736" s="19"/>
      <c r="BN736" s="19"/>
    </row>
    <row r="737" spans="58:67" ht="11.25" customHeight="1">
      <c r="BI737" s="17"/>
      <c r="BJ737" s="19"/>
      <c r="BL737" s="19"/>
      <c r="BN737" s="19"/>
    </row>
    <row r="738" spans="58:67" ht="11.25" customHeight="1">
      <c r="BI738" s="18"/>
      <c r="BK738" s="18"/>
      <c r="BM738" s="18"/>
      <c r="BO738" s="18"/>
    </row>
    <row r="739" spans="58:67" ht="11.25" customHeight="1">
      <c r="BI739" s="18"/>
      <c r="BK739" s="18"/>
      <c r="BM739" s="18"/>
      <c r="BO739" s="18"/>
    </row>
    <row r="740" spans="58:67" ht="11.25" customHeight="1">
      <c r="BI740" s="19"/>
      <c r="BK740" s="19"/>
      <c r="BM740" s="19"/>
      <c r="BO740" s="19"/>
    </row>
    <row r="741" spans="58:67" ht="11.25" customHeight="1">
      <c r="BI741" s="19"/>
      <c r="BK741" s="19"/>
      <c r="BM741" s="19"/>
      <c r="BO741" s="19"/>
    </row>
    <row r="742" spans="58:67" ht="11.25" customHeight="1">
      <c r="BH742" s="17"/>
      <c r="BI742" s="19"/>
      <c r="BK742" s="19"/>
      <c r="BM742" s="19"/>
      <c r="BO742" s="19"/>
    </row>
    <row r="743" spans="58:67" ht="11.25" customHeight="1">
      <c r="BH743" s="18"/>
      <c r="BJ743" s="18"/>
      <c r="BL743" s="18"/>
      <c r="BN743" s="18"/>
    </row>
    <row r="744" spans="58:67" ht="11.25" customHeight="1">
      <c r="BH744" s="18"/>
      <c r="BJ744" s="18"/>
      <c r="BL744" s="18"/>
      <c r="BN744" s="18"/>
    </row>
    <row r="745" spans="58:67" ht="11.25" customHeight="1">
      <c r="BH745" s="19"/>
      <c r="BJ745" s="19"/>
      <c r="BL745" s="19"/>
      <c r="BN745" s="19"/>
    </row>
    <row r="746" spans="58:67" ht="11.25" customHeight="1">
      <c r="BH746" s="19"/>
      <c r="BJ746" s="19"/>
      <c r="BL746" s="19"/>
      <c r="BN746" s="19"/>
    </row>
    <row r="747" spans="58:67" ht="11.25" customHeight="1">
      <c r="BG747" s="17"/>
      <c r="BH747" s="19"/>
      <c r="BJ747" s="19"/>
      <c r="BL747" s="19"/>
      <c r="BN747" s="19"/>
    </row>
    <row r="748" spans="58:67" ht="11.25" customHeight="1">
      <c r="BG748" s="18"/>
      <c r="BI748" s="18"/>
      <c r="BK748" s="18"/>
      <c r="BM748" s="18"/>
      <c r="BO748" s="18"/>
    </row>
    <row r="749" spans="58:67" ht="11.25" customHeight="1">
      <c r="BG749" s="18"/>
      <c r="BI749" s="18"/>
      <c r="BK749" s="18"/>
      <c r="BM749" s="18"/>
      <c r="BO749" s="18"/>
    </row>
    <row r="750" spans="58:67" ht="11.25" customHeight="1">
      <c r="BG750" s="19"/>
      <c r="BI750" s="19"/>
      <c r="BK750" s="19"/>
      <c r="BM750" s="19"/>
      <c r="BO750" s="19"/>
    </row>
    <row r="751" spans="58:67" ht="11.25" customHeight="1">
      <c r="BG751" s="19"/>
      <c r="BI751" s="19"/>
      <c r="BK751" s="19"/>
      <c r="BM751" s="19"/>
      <c r="BO751" s="19"/>
    </row>
    <row r="752" spans="58:67" ht="11.25" customHeight="1">
      <c r="BF752" s="17"/>
      <c r="BG752" s="19"/>
      <c r="BI752" s="19"/>
      <c r="BK752" s="19"/>
      <c r="BM752" s="19"/>
      <c r="BO752" s="19"/>
    </row>
    <row r="753" spans="55:67" ht="11.25" customHeight="1">
      <c r="BF753" s="18"/>
      <c r="BH753" s="18"/>
      <c r="BJ753" s="18"/>
      <c r="BL753" s="18"/>
      <c r="BN753" s="18"/>
    </row>
    <row r="754" spans="55:67" ht="11.25" customHeight="1">
      <c r="BF754" s="18"/>
      <c r="BH754" s="18"/>
      <c r="BJ754" s="18"/>
      <c r="BL754" s="18"/>
      <c r="BN754" s="18"/>
    </row>
    <row r="755" spans="55:67" ht="11.25" customHeight="1">
      <c r="BF755" s="19"/>
      <c r="BH755" s="19"/>
      <c r="BJ755" s="19"/>
      <c r="BL755" s="19"/>
      <c r="BN755" s="19"/>
    </row>
    <row r="756" spans="55:67" ht="11.25" customHeight="1">
      <c r="BF756" s="19"/>
      <c r="BH756" s="19"/>
      <c r="BJ756" s="19"/>
      <c r="BL756" s="19"/>
      <c r="BN756" s="19"/>
    </row>
    <row r="757" spans="55:67" ht="11.25" customHeight="1">
      <c r="BE757" s="17"/>
      <c r="BF757" s="19"/>
      <c r="BH757" s="19"/>
      <c r="BJ757" s="19"/>
      <c r="BL757" s="19"/>
      <c r="BN757" s="19"/>
    </row>
    <row r="758" spans="55:67" ht="11.25" customHeight="1">
      <c r="BE758" s="18"/>
      <c r="BG758" s="18"/>
      <c r="BI758" s="18"/>
      <c r="BK758" s="18"/>
      <c r="BM758" s="18"/>
      <c r="BO758" s="18"/>
    </row>
    <row r="759" spans="55:67" ht="11.25" customHeight="1">
      <c r="BE759" s="18"/>
      <c r="BG759" s="18"/>
      <c r="BI759" s="18"/>
      <c r="BK759" s="18"/>
      <c r="BM759" s="18"/>
      <c r="BO759" s="18"/>
    </row>
    <row r="760" spans="55:67" ht="11.25" customHeight="1">
      <c r="BE760" s="19"/>
      <c r="BG760" s="19"/>
      <c r="BI760" s="19"/>
      <c r="BK760" s="19"/>
      <c r="BM760" s="19"/>
      <c r="BO760" s="19"/>
    </row>
    <row r="761" spans="55:67" ht="11.25" customHeight="1">
      <c r="BE761" s="19"/>
      <c r="BG761" s="19"/>
      <c r="BI761" s="19"/>
      <c r="BK761" s="19"/>
      <c r="BM761" s="19"/>
      <c r="BO761" s="19"/>
    </row>
    <row r="762" spans="55:67" ht="11.25" customHeight="1">
      <c r="BD762" s="17"/>
      <c r="BE762" s="19"/>
      <c r="BG762" s="19"/>
      <c r="BI762" s="19"/>
      <c r="BK762" s="19"/>
      <c r="BM762" s="19"/>
      <c r="BO762" s="19"/>
    </row>
    <row r="763" spans="55:67" ht="11.25" customHeight="1">
      <c r="BD763" s="18"/>
      <c r="BF763" s="18"/>
      <c r="BH763" s="18"/>
      <c r="BJ763" s="18"/>
      <c r="BL763" s="18"/>
      <c r="BN763" s="18"/>
    </row>
    <row r="764" spans="55:67" ht="11.25" customHeight="1">
      <c r="BD764" s="18"/>
      <c r="BF764" s="18"/>
      <c r="BH764" s="18"/>
      <c r="BJ764" s="18"/>
      <c r="BL764" s="18"/>
      <c r="BN764" s="18"/>
    </row>
    <row r="765" spans="55:67" ht="11.25" customHeight="1">
      <c r="BD765" s="19"/>
      <c r="BF765" s="19"/>
      <c r="BH765" s="19"/>
      <c r="BJ765" s="19"/>
      <c r="BL765" s="19"/>
      <c r="BN765" s="19"/>
    </row>
    <row r="766" spans="55:67" ht="11.25" customHeight="1">
      <c r="BD766" s="19"/>
      <c r="BF766" s="19"/>
      <c r="BH766" s="19"/>
      <c r="BJ766" s="19"/>
      <c r="BL766" s="19"/>
      <c r="BN766" s="19"/>
    </row>
    <row r="767" spans="55:67" ht="11.25" customHeight="1">
      <c r="BC767" s="17"/>
      <c r="BD767" s="19"/>
      <c r="BF767" s="19"/>
      <c r="BH767" s="19"/>
      <c r="BJ767" s="19"/>
      <c r="BL767" s="19"/>
      <c r="BN767" s="19"/>
    </row>
    <row r="768" spans="55:67" ht="11.25" customHeight="1">
      <c r="BC768" s="18"/>
      <c r="BE768" s="18"/>
      <c r="BG768" s="18"/>
      <c r="BI768" s="18"/>
      <c r="BK768" s="18"/>
      <c r="BM768" s="18"/>
      <c r="BO768" s="18"/>
    </row>
    <row r="769" spans="52:67" ht="11.25" customHeight="1">
      <c r="BC769" s="18"/>
      <c r="BE769" s="18"/>
      <c r="BG769" s="18"/>
      <c r="BI769" s="18"/>
      <c r="BK769" s="18"/>
      <c r="BM769" s="18"/>
      <c r="BO769" s="18"/>
    </row>
    <row r="770" spans="52:67" ht="11.25" customHeight="1">
      <c r="BC770" s="19"/>
      <c r="BE770" s="19"/>
      <c r="BG770" s="19"/>
      <c r="BI770" s="19"/>
      <c r="BK770" s="19"/>
      <c r="BM770" s="19"/>
      <c r="BO770" s="19"/>
    </row>
    <row r="771" spans="52:67" ht="11.25" customHeight="1">
      <c r="BC771" s="19"/>
      <c r="BE771" s="19"/>
      <c r="BG771" s="19"/>
      <c r="BI771" s="19"/>
      <c r="BK771" s="19"/>
      <c r="BM771" s="19"/>
      <c r="BO771" s="19"/>
    </row>
    <row r="772" spans="52:67" ht="11.25" customHeight="1">
      <c r="BB772" s="17"/>
      <c r="BC772" s="19"/>
      <c r="BE772" s="19"/>
      <c r="BG772" s="19"/>
      <c r="BI772" s="19"/>
      <c r="BK772" s="19"/>
      <c r="BM772" s="19"/>
      <c r="BO772" s="19"/>
    </row>
    <row r="773" spans="52:67" ht="11.25" customHeight="1">
      <c r="BB773" s="18"/>
      <c r="BD773" s="18"/>
      <c r="BF773" s="18"/>
      <c r="BH773" s="18"/>
      <c r="BJ773" s="18"/>
      <c r="BL773" s="18"/>
      <c r="BN773" s="18"/>
    </row>
    <row r="774" spans="52:67" ht="11.25" customHeight="1">
      <c r="BB774" s="18"/>
      <c r="BD774" s="18"/>
      <c r="BF774" s="18"/>
      <c r="BH774" s="18"/>
      <c r="BJ774" s="18"/>
      <c r="BL774" s="18"/>
      <c r="BN774" s="18"/>
    </row>
    <row r="775" spans="52:67" ht="11.25" customHeight="1">
      <c r="BB775" s="19"/>
      <c r="BD775" s="19"/>
      <c r="BF775" s="19"/>
      <c r="BH775" s="19"/>
      <c r="BJ775" s="19"/>
      <c r="BL775" s="19"/>
      <c r="BN775" s="19"/>
    </row>
    <row r="776" spans="52:67" ht="11.25" customHeight="1">
      <c r="BB776" s="19"/>
      <c r="BD776" s="19"/>
      <c r="BF776" s="19"/>
      <c r="BH776" s="19"/>
      <c r="BJ776" s="19"/>
      <c r="BL776" s="19"/>
      <c r="BN776" s="19"/>
    </row>
    <row r="777" spans="52:67" ht="11.25" customHeight="1">
      <c r="BA777" s="17"/>
      <c r="BB777" s="19"/>
      <c r="BD777" s="19"/>
      <c r="BF777" s="19"/>
      <c r="BH777" s="19"/>
      <c r="BJ777" s="19"/>
      <c r="BL777" s="19"/>
      <c r="BN777" s="19"/>
    </row>
    <row r="778" spans="52:67" ht="11.25" customHeight="1">
      <c r="BA778" s="18"/>
      <c r="BC778" s="18"/>
      <c r="BE778" s="18"/>
      <c r="BG778" s="18"/>
      <c r="BI778" s="18"/>
      <c r="BK778" s="18"/>
      <c r="BM778" s="18"/>
      <c r="BO778" s="18"/>
    </row>
    <row r="779" spans="52:67" ht="11.25" customHeight="1">
      <c r="BA779" s="18"/>
      <c r="BC779" s="18"/>
      <c r="BE779" s="18"/>
      <c r="BG779" s="18"/>
      <c r="BI779" s="18"/>
      <c r="BK779" s="18"/>
      <c r="BM779" s="18"/>
      <c r="BO779" s="18"/>
    </row>
    <row r="780" spans="52:67" ht="11.25" customHeight="1">
      <c r="BA780" s="19"/>
      <c r="BC780" s="19"/>
      <c r="BE780" s="19"/>
      <c r="BG780" s="19"/>
      <c r="BI780" s="19"/>
      <c r="BK780" s="19"/>
      <c r="BM780" s="19"/>
      <c r="BO780" s="19"/>
    </row>
    <row r="781" spans="52:67" ht="11.25" customHeight="1">
      <c r="BA781" s="19"/>
      <c r="BC781" s="19"/>
      <c r="BE781" s="19"/>
      <c r="BG781" s="19"/>
      <c r="BI781" s="19"/>
      <c r="BK781" s="19"/>
      <c r="BM781" s="19"/>
      <c r="BO781" s="19"/>
    </row>
    <row r="782" spans="52:67" ht="11.25" customHeight="1">
      <c r="AZ782" s="17"/>
      <c r="BA782" s="19"/>
      <c r="BC782" s="19"/>
      <c r="BE782" s="19"/>
      <c r="BG782" s="19"/>
      <c r="BI782" s="19"/>
      <c r="BK782" s="19"/>
      <c r="BM782" s="19"/>
      <c r="BO782" s="19"/>
    </row>
    <row r="783" spans="52:67" ht="11.25" customHeight="1">
      <c r="AZ783" s="18"/>
      <c r="BB783" s="18"/>
      <c r="BD783" s="18"/>
      <c r="BF783" s="18"/>
      <c r="BH783" s="18"/>
      <c r="BJ783" s="18"/>
      <c r="BL783" s="18"/>
      <c r="BN783" s="18"/>
    </row>
    <row r="784" spans="52:67" ht="11.25" customHeight="1">
      <c r="AZ784" s="18"/>
      <c r="BB784" s="18"/>
      <c r="BD784" s="18"/>
      <c r="BF784" s="18"/>
      <c r="BH784" s="18"/>
      <c r="BJ784" s="18"/>
      <c r="BL784" s="18"/>
      <c r="BN784" s="18"/>
    </row>
    <row r="785" spans="49:67" ht="11.25" customHeight="1">
      <c r="AZ785" s="19"/>
      <c r="BB785" s="19"/>
      <c r="BD785" s="19"/>
      <c r="BF785" s="19"/>
      <c r="BH785" s="19"/>
      <c r="BJ785" s="19"/>
      <c r="BL785" s="19"/>
      <c r="BN785" s="19"/>
    </row>
    <row r="786" spans="49:67" ht="11.25" customHeight="1">
      <c r="AZ786" s="19"/>
      <c r="BB786" s="19"/>
      <c r="BD786" s="19"/>
      <c r="BF786" s="19"/>
      <c r="BH786" s="19"/>
      <c r="BJ786" s="19"/>
      <c r="BL786" s="19"/>
      <c r="BN786" s="19"/>
    </row>
    <row r="787" spans="49:67" ht="11.25" customHeight="1">
      <c r="AY787" s="17"/>
      <c r="AZ787" s="19"/>
      <c r="BB787" s="19"/>
      <c r="BD787" s="19"/>
      <c r="BF787" s="19"/>
      <c r="BH787" s="19"/>
      <c r="BJ787" s="19"/>
      <c r="BL787" s="19"/>
      <c r="BN787" s="19"/>
    </row>
    <row r="788" spans="49:67" ht="11.25" customHeight="1">
      <c r="AY788" s="18"/>
      <c r="BA788" s="18"/>
      <c r="BC788" s="18"/>
      <c r="BE788" s="18"/>
      <c r="BG788" s="18"/>
      <c r="BI788" s="18"/>
      <c r="BK788" s="18"/>
      <c r="BM788" s="18"/>
      <c r="BO788" s="18"/>
    </row>
    <row r="789" spans="49:67" ht="11.25" customHeight="1">
      <c r="AY789" s="18"/>
      <c r="BA789" s="18"/>
      <c r="BC789" s="18"/>
      <c r="BE789" s="18"/>
      <c r="BG789" s="18"/>
      <c r="BI789" s="18"/>
      <c r="BK789" s="18"/>
      <c r="BM789" s="18"/>
      <c r="BO789" s="18"/>
    </row>
    <row r="790" spans="49:67" ht="11.25" customHeight="1">
      <c r="AY790" s="19"/>
      <c r="BA790" s="19"/>
      <c r="BC790" s="19"/>
      <c r="BE790" s="19"/>
      <c r="BG790" s="19"/>
      <c r="BI790" s="19"/>
      <c r="BK790" s="19"/>
      <c r="BM790" s="19"/>
      <c r="BO790" s="19"/>
    </row>
    <row r="791" spans="49:67" ht="11.25" customHeight="1">
      <c r="AY791" s="19"/>
      <c r="BA791" s="19"/>
      <c r="BC791" s="19"/>
      <c r="BE791" s="19"/>
      <c r="BG791" s="19"/>
      <c r="BI791" s="19"/>
      <c r="BK791" s="19"/>
      <c r="BM791" s="19"/>
      <c r="BO791" s="19"/>
    </row>
    <row r="792" spans="49:67" ht="11.25" customHeight="1">
      <c r="AX792" s="17"/>
      <c r="AY792" s="19"/>
      <c r="BA792" s="19"/>
      <c r="BC792" s="19"/>
      <c r="BE792" s="19"/>
      <c r="BG792" s="19"/>
      <c r="BI792" s="19"/>
      <c r="BK792" s="19"/>
      <c r="BM792" s="19"/>
      <c r="BO792" s="19"/>
    </row>
    <row r="793" spans="49:67" ht="11.25" customHeight="1">
      <c r="AX793" s="18"/>
      <c r="AZ793" s="18"/>
      <c r="BB793" s="18"/>
      <c r="BD793" s="18"/>
      <c r="BF793" s="18"/>
      <c r="BH793" s="18"/>
      <c r="BJ793" s="18"/>
      <c r="BL793" s="18"/>
      <c r="BN793" s="18"/>
    </row>
    <row r="794" spans="49:67" ht="11.25" customHeight="1">
      <c r="AX794" s="18"/>
      <c r="AZ794" s="18"/>
      <c r="BB794" s="18"/>
      <c r="BD794" s="18"/>
      <c r="BF794" s="18"/>
      <c r="BH794" s="18"/>
      <c r="BJ794" s="18"/>
      <c r="BL794" s="18"/>
      <c r="BN794" s="18"/>
    </row>
    <row r="795" spans="49:67" ht="11.25" customHeight="1">
      <c r="AX795" s="19"/>
      <c r="AZ795" s="19"/>
      <c r="BB795" s="19"/>
      <c r="BD795" s="19"/>
      <c r="BF795" s="19"/>
      <c r="BH795" s="19"/>
      <c r="BJ795" s="19"/>
      <c r="BL795" s="19"/>
      <c r="BN795" s="19"/>
    </row>
    <row r="796" spans="49:67" ht="11.25" customHeight="1">
      <c r="AX796" s="19"/>
      <c r="AZ796" s="19"/>
      <c r="BB796" s="19"/>
      <c r="BD796" s="19"/>
      <c r="BF796" s="19"/>
      <c r="BH796" s="19"/>
      <c r="BJ796" s="19"/>
      <c r="BL796" s="19"/>
      <c r="BN796" s="19"/>
    </row>
    <row r="797" spans="49:67" ht="11.25" customHeight="1">
      <c r="AW797" s="17"/>
      <c r="AX797" s="19"/>
      <c r="AZ797" s="19"/>
      <c r="BB797" s="19"/>
      <c r="BD797" s="19"/>
      <c r="BF797" s="19"/>
      <c r="BH797" s="19"/>
      <c r="BJ797" s="19"/>
      <c r="BL797" s="19"/>
      <c r="BN797" s="19"/>
    </row>
    <row r="798" spans="49:67" ht="11.25" customHeight="1">
      <c r="AW798" s="18"/>
      <c r="AY798" s="18"/>
      <c r="BA798" s="18"/>
      <c r="BC798" s="18"/>
      <c r="BE798" s="18"/>
      <c r="BG798" s="18"/>
      <c r="BI798" s="18"/>
      <c r="BK798" s="18"/>
      <c r="BM798" s="18"/>
      <c r="BO798" s="18"/>
    </row>
    <row r="799" spans="49:67" ht="11.25" customHeight="1">
      <c r="AW799" s="18"/>
      <c r="AY799" s="18"/>
      <c r="BA799" s="18"/>
      <c r="BC799" s="18"/>
      <c r="BE799" s="18"/>
      <c r="BG799" s="18"/>
      <c r="BI799" s="18"/>
      <c r="BK799" s="18"/>
      <c r="BM799" s="18"/>
      <c r="BO799" s="18"/>
    </row>
    <row r="800" spans="49:67" ht="11.25" customHeight="1">
      <c r="AW800" s="19"/>
      <c r="AY800" s="19"/>
      <c r="BA800" s="19"/>
      <c r="BC800" s="19"/>
      <c r="BE800" s="19"/>
      <c r="BG800" s="19"/>
      <c r="BI800" s="19"/>
      <c r="BK800" s="19"/>
      <c r="BM800" s="19"/>
      <c r="BO800" s="19"/>
    </row>
    <row r="801" spans="47:67" ht="11.25" customHeight="1">
      <c r="AW801" s="19"/>
      <c r="AY801" s="19"/>
      <c r="BA801" s="19"/>
      <c r="BC801" s="19"/>
      <c r="BE801" s="19"/>
      <c r="BG801" s="19"/>
      <c r="BI801" s="19"/>
      <c r="BK801" s="19"/>
      <c r="BM801" s="19"/>
      <c r="BO801" s="19"/>
    </row>
    <row r="802" spans="47:67" ht="11.25" customHeight="1">
      <c r="AV802" s="17"/>
      <c r="AW802" s="19"/>
      <c r="AY802" s="19"/>
      <c r="BA802" s="19"/>
      <c r="BC802" s="19"/>
      <c r="BE802" s="19"/>
      <c r="BG802" s="19"/>
      <c r="BI802" s="19"/>
      <c r="BK802" s="19"/>
      <c r="BM802" s="19"/>
      <c r="BO802" s="19"/>
    </row>
    <row r="803" spans="47:67" ht="11.25" customHeight="1">
      <c r="AV803" s="18"/>
      <c r="AX803" s="18"/>
      <c r="AZ803" s="18"/>
      <c r="BB803" s="18"/>
      <c r="BD803" s="18"/>
      <c r="BF803" s="18"/>
      <c r="BH803" s="18"/>
      <c r="BJ803" s="18"/>
      <c r="BL803" s="18"/>
      <c r="BN803" s="18"/>
    </row>
    <row r="804" spans="47:67" ht="11.25" customHeight="1">
      <c r="AV804" s="18"/>
      <c r="AX804" s="18"/>
      <c r="AZ804" s="18"/>
      <c r="BB804" s="18"/>
      <c r="BD804" s="18"/>
      <c r="BF804" s="18"/>
      <c r="BH804" s="18"/>
      <c r="BJ804" s="18"/>
      <c r="BL804" s="18"/>
      <c r="BN804" s="18"/>
    </row>
    <row r="805" spans="47:67" ht="11.25" customHeight="1">
      <c r="AV805" s="19"/>
      <c r="AX805" s="19"/>
      <c r="AZ805" s="19"/>
      <c r="BB805" s="19"/>
      <c r="BD805" s="19"/>
      <c r="BF805" s="19"/>
      <c r="BH805" s="19"/>
      <c r="BJ805" s="19"/>
      <c r="BL805" s="19"/>
      <c r="BN805" s="19"/>
    </row>
    <row r="806" spans="47:67" ht="11.25" customHeight="1">
      <c r="AV806" s="19"/>
      <c r="AX806" s="19"/>
      <c r="AZ806" s="19"/>
      <c r="BB806" s="19"/>
      <c r="BD806" s="19"/>
      <c r="BF806" s="19"/>
      <c r="BH806" s="19"/>
      <c r="BJ806" s="19"/>
      <c r="BL806" s="19"/>
      <c r="BN806" s="19"/>
    </row>
    <row r="807" spans="47:67" ht="11.25" customHeight="1">
      <c r="AU807" s="17"/>
      <c r="AV807" s="19"/>
      <c r="AX807" s="19"/>
      <c r="AZ807" s="19"/>
      <c r="BB807" s="19"/>
      <c r="BD807" s="19"/>
      <c r="BF807" s="19"/>
      <c r="BH807" s="19"/>
      <c r="BJ807" s="19"/>
      <c r="BL807" s="19"/>
      <c r="BN807" s="19"/>
    </row>
    <row r="808" spans="47:67" ht="11.25" customHeight="1">
      <c r="AU808" s="18"/>
      <c r="AW808" s="18"/>
      <c r="AY808" s="18"/>
      <c r="BA808" s="18"/>
      <c r="BC808" s="18"/>
      <c r="BE808" s="18"/>
      <c r="BG808" s="18"/>
      <c r="BI808" s="18"/>
      <c r="BK808" s="18"/>
      <c r="BM808" s="18"/>
      <c r="BO808" s="18"/>
    </row>
    <row r="809" spans="47:67" ht="11.25" customHeight="1">
      <c r="AU809" s="18"/>
      <c r="AW809" s="18"/>
      <c r="AY809" s="18"/>
      <c r="BA809" s="18"/>
      <c r="BC809" s="18"/>
      <c r="BE809" s="18"/>
      <c r="BG809" s="18"/>
      <c r="BI809" s="18"/>
      <c r="BK809" s="18"/>
      <c r="BM809" s="18"/>
      <c r="BO809" s="18"/>
    </row>
    <row r="810" spans="47:67" ht="11.25" customHeight="1">
      <c r="AU810" s="19"/>
      <c r="AW810" s="19"/>
      <c r="AY810" s="19"/>
      <c r="BA810" s="19"/>
      <c r="BC810" s="19"/>
      <c r="BE810" s="19"/>
      <c r="BG810" s="19"/>
      <c r="BI810" s="19"/>
      <c r="BK810" s="19"/>
      <c r="BM810" s="19"/>
      <c r="BO810" s="19"/>
    </row>
    <row r="811" spans="47:67" ht="11.25" customHeight="1">
      <c r="AU811" s="19"/>
      <c r="AW811" s="19"/>
      <c r="AY811" s="19"/>
      <c r="BA811" s="19"/>
      <c r="BC811" s="19"/>
      <c r="BE811" s="19"/>
      <c r="BG811" s="19"/>
      <c r="BI811" s="19"/>
      <c r="BK811" s="19"/>
      <c r="BM811" s="19"/>
      <c r="BO811" s="19"/>
    </row>
    <row r="812" spans="47:67" ht="11.25" customHeight="1">
      <c r="AU812" s="19"/>
      <c r="AW812" s="19"/>
      <c r="AY812" s="19"/>
      <c r="BA812" s="19"/>
      <c r="BC812" s="19"/>
      <c r="BE812" s="19"/>
      <c r="BG812" s="19"/>
      <c r="BI812" s="19"/>
      <c r="BK812" s="19"/>
      <c r="BM812" s="19"/>
      <c r="BO812" s="19"/>
    </row>
    <row r="813" spans="47:67" ht="11.25" customHeight="1">
      <c r="AV813" s="18"/>
      <c r="AX813" s="18"/>
      <c r="AZ813" s="18"/>
      <c r="BB813" s="18"/>
      <c r="BD813" s="18"/>
      <c r="BF813" s="18"/>
      <c r="BH813" s="18"/>
      <c r="BJ813" s="18"/>
      <c r="BL813" s="18"/>
      <c r="BN813" s="18"/>
    </row>
    <row r="814" spans="47:67" ht="11.25" customHeight="1">
      <c r="AV814" s="18"/>
      <c r="AX814" s="18"/>
      <c r="AZ814" s="18"/>
      <c r="BB814" s="18"/>
      <c r="BD814" s="18"/>
      <c r="BF814" s="18"/>
      <c r="BH814" s="18"/>
      <c r="BJ814" s="18"/>
      <c r="BL814" s="18"/>
      <c r="BN814" s="18"/>
    </row>
    <row r="815" spans="47:67" ht="11.25" customHeight="1">
      <c r="AV815" s="19"/>
      <c r="AX815" s="19"/>
      <c r="AZ815" s="19"/>
      <c r="BB815" s="19"/>
      <c r="BD815" s="19"/>
      <c r="BF815" s="19"/>
      <c r="BH815" s="19"/>
      <c r="BJ815" s="19"/>
      <c r="BL815" s="19"/>
      <c r="BN815" s="19"/>
    </row>
    <row r="816" spans="47:67" ht="11.25" customHeight="1">
      <c r="AV816" s="19"/>
      <c r="AX816" s="19"/>
      <c r="AZ816" s="19"/>
      <c r="BB816" s="19"/>
      <c r="BD816" s="19"/>
      <c r="BF816" s="19"/>
      <c r="BH816" s="19"/>
      <c r="BJ816" s="19"/>
      <c r="BL816" s="19"/>
      <c r="BN816" s="19"/>
    </row>
    <row r="817" spans="44:67" ht="11.25" customHeight="1">
      <c r="AV817" s="19"/>
      <c r="AX817" s="19"/>
      <c r="AZ817" s="19"/>
      <c r="BB817" s="19"/>
      <c r="BD817" s="19"/>
      <c r="BF817" s="19"/>
      <c r="BH817" s="19"/>
      <c r="BJ817" s="19"/>
      <c r="BL817" s="19"/>
      <c r="BN817" s="19"/>
    </row>
    <row r="818" spans="44:67" ht="11.25" customHeight="1">
      <c r="AU818" s="18"/>
      <c r="AW818" s="18"/>
      <c r="AY818" s="18"/>
      <c r="BA818" s="18"/>
      <c r="BC818" s="18"/>
      <c r="BE818" s="18"/>
      <c r="BG818" s="18"/>
      <c r="BI818" s="18"/>
      <c r="BK818" s="18"/>
      <c r="BM818" s="18"/>
      <c r="BO818" s="18"/>
    </row>
    <row r="819" spans="44:67" ht="11.25" customHeight="1">
      <c r="AU819" s="18"/>
      <c r="AW819" s="18"/>
      <c r="AY819" s="18"/>
      <c r="BA819" s="18"/>
      <c r="BC819" s="18"/>
      <c r="BE819" s="18"/>
      <c r="BG819" s="18"/>
      <c r="BI819" s="18"/>
      <c r="BK819" s="18"/>
      <c r="BM819" s="18"/>
      <c r="BO819" s="18"/>
    </row>
    <row r="820" spans="44:67" ht="11.25" customHeight="1">
      <c r="AU820" s="19"/>
      <c r="AW820" s="19"/>
      <c r="AY820" s="19"/>
      <c r="BA820" s="19"/>
      <c r="BC820" s="19"/>
      <c r="BE820" s="19"/>
      <c r="BG820" s="19"/>
      <c r="BI820" s="19"/>
      <c r="BK820" s="19"/>
      <c r="BM820" s="19"/>
      <c r="BO820" s="19"/>
    </row>
    <row r="821" spans="44:67" ht="11.25" customHeight="1">
      <c r="AU821" s="19"/>
      <c r="AW821" s="19"/>
      <c r="AY821" s="19"/>
      <c r="BA821" s="19"/>
      <c r="BC821" s="19"/>
      <c r="BE821" s="19"/>
      <c r="BG821" s="19"/>
      <c r="BI821" s="19"/>
      <c r="BK821" s="19"/>
      <c r="BM821" s="19"/>
      <c r="BO821" s="19"/>
    </row>
    <row r="822" spans="44:67" ht="11.25" customHeight="1">
      <c r="AT822" s="17"/>
      <c r="AU822" s="19"/>
      <c r="AW822" s="19"/>
      <c r="AY822" s="19"/>
      <c r="BA822" s="19"/>
      <c r="BC822" s="19"/>
      <c r="BE822" s="19"/>
      <c r="BG822" s="19"/>
      <c r="BI822" s="19"/>
      <c r="BK822" s="19"/>
      <c r="BM822" s="19"/>
      <c r="BO822" s="19"/>
    </row>
    <row r="823" spans="44:67" ht="11.25" customHeight="1">
      <c r="AT823" s="18"/>
      <c r="AV823" s="18"/>
      <c r="AX823" s="18"/>
      <c r="AZ823" s="18"/>
      <c r="BB823" s="18"/>
      <c r="BD823" s="18"/>
      <c r="BF823" s="18"/>
      <c r="BH823" s="18"/>
      <c r="BJ823" s="18"/>
      <c r="BL823" s="18"/>
      <c r="BN823" s="18"/>
    </row>
    <row r="824" spans="44:67" ht="11.25" customHeight="1">
      <c r="AT824" s="18"/>
      <c r="AV824" s="18"/>
      <c r="AX824" s="18"/>
      <c r="AZ824" s="18"/>
      <c r="BB824" s="18"/>
      <c r="BD824" s="18"/>
      <c r="BF824" s="18"/>
      <c r="BH824" s="18"/>
      <c r="BJ824" s="18"/>
      <c r="BL824" s="18"/>
      <c r="BN824" s="18"/>
    </row>
    <row r="825" spans="44:67" ht="11.25" customHeight="1">
      <c r="AT825" s="19"/>
      <c r="AV825" s="19"/>
      <c r="AX825" s="19"/>
      <c r="AZ825" s="19"/>
      <c r="BB825" s="19"/>
      <c r="BD825" s="19"/>
      <c r="BF825" s="19"/>
      <c r="BH825" s="19"/>
      <c r="BJ825" s="19"/>
      <c r="BL825" s="19"/>
      <c r="BN825" s="19"/>
    </row>
    <row r="826" spans="44:67" ht="11.25" customHeight="1">
      <c r="AT826" s="19"/>
      <c r="AV826" s="19"/>
      <c r="AX826" s="19"/>
      <c r="AZ826" s="19"/>
      <c r="BB826" s="19"/>
      <c r="BD826" s="19"/>
      <c r="BF826" s="19"/>
      <c r="BH826" s="19"/>
      <c r="BJ826" s="19"/>
      <c r="BL826" s="19"/>
      <c r="BN826" s="19"/>
    </row>
    <row r="827" spans="44:67" ht="11.25" customHeight="1">
      <c r="AS827" s="17"/>
      <c r="AT827" s="19"/>
      <c r="AV827" s="19"/>
      <c r="AX827" s="19"/>
      <c r="AZ827" s="19"/>
      <c r="BB827" s="19"/>
      <c r="BD827" s="19"/>
      <c r="BF827" s="19"/>
      <c r="BH827" s="19"/>
      <c r="BJ827" s="19"/>
      <c r="BL827" s="19"/>
      <c r="BN827" s="19"/>
    </row>
    <row r="828" spans="44:67" ht="11.25" customHeight="1">
      <c r="AS828" s="18"/>
      <c r="AU828" s="18"/>
      <c r="AW828" s="18"/>
      <c r="AY828" s="18"/>
      <c r="BA828" s="18"/>
      <c r="BC828" s="18"/>
      <c r="BE828" s="18"/>
      <c r="BG828" s="18"/>
      <c r="BI828" s="18"/>
      <c r="BK828" s="18"/>
      <c r="BM828" s="18"/>
      <c r="BO828" s="18"/>
    </row>
    <row r="829" spans="44:67" ht="11.25" customHeight="1">
      <c r="AS829" s="18"/>
      <c r="AU829" s="18"/>
      <c r="AW829" s="18"/>
      <c r="AY829" s="18"/>
      <c r="BA829" s="18"/>
      <c r="BC829" s="18"/>
      <c r="BE829" s="18"/>
      <c r="BG829" s="18"/>
      <c r="BI829" s="18"/>
      <c r="BK829" s="18"/>
      <c r="BM829" s="18"/>
      <c r="BO829" s="18"/>
    </row>
    <row r="830" spans="44:67" ht="11.25" customHeight="1">
      <c r="AS830" s="19"/>
      <c r="AU830" s="19"/>
      <c r="AW830" s="19"/>
      <c r="AY830" s="19"/>
      <c r="BA830" s="19"/>
      <c r="BC830" s="19"/>
      <c r="BE830" s="19"/>
      <c r="BG830" s="19"/>
      <c r="BI830" s="19"/>
      <c r="BK830" s="19"/>
      <c r="BM830" s="19"/>
      <c r="BO830" s="19"/>
    </row>
    <row r="831" spans="44:67" ht="11.25" customHeight="1">
      <c r="AS831" s="19"/>
      <c r="AU831" s="19"/>
      <c r="AW831" s="19"/>
      <c r="AY831" s="19"/>
      <c r="BA831" s="19"/>
      <c r="BC831" s="19"/>
      <c r="BE831" s="19"/>
      <c r="BG831" s="19"/>
      <c r="BI831" s="19"/>
      <c r="BK831" s="19"/>
      <c r="BM831" s="19"/>
      <c r="BO831" s="19"/>
    </row>
    <row r="832" spans="44:67" ht="11.25" customHeight="1">
      <c r="AR832" s="17"/>
      <c r="AS832" s="19"/>
      <c r="AU832" s="19"/>
      <c r="AW832" s="19"/>
      <c r="AY832" s="19"/>
      <c r="BA832" s="19"/>
      <c r="BC832" s="19"/>
      <c r="BE832" s="19"/>
      <c r="BG832" s="19"/>
      <c r="BI832" s="19"/>
      <c r="BK832" s="19"/>
      <c r="BM832" s="19"/>
      <c r="BO832" s="19"/>
    </row>
    <row r="833" spans="41:67" ht="11.25" customHeight="1">
      <c r="AR833" s="18"/>
      <c r="AT833" s="18"/>
      <c r="AV833" s="18"/>
      <c r="AX833" s="18"/>
      <c r="AZ833" s="18"/>
      <c r="BB833" s="18"/>
      <c r="BD833" s="18"/>
      <c r="BF833" s="18"/>
      <c r="BH833" s="18"/>
      <c r="BJ833" s="18"/>
      <c r="BL833" s="18"/>
      <c r="BN833" s="18"/>
    </row>
    <row r="834" spans="41:67" ht="11.25" customHeight="1">
      <c r="AR834" s="18"/>
      <c r="AT834" s="18"/>
      <c r="AV834" s="18"/>
      <c r="AX834" s="18"/>
      <c r="AZ834" s="18"/>
      <c r="BB834" s="18"/>
      <c r="BD834" s="18"/>
      <c r="BF834" s="18"/>
      <c r="BH834" s="18"/>
      <c r="BJ834" s="18"/>
      <c r="BL834" s="18"/>
      <c r="BN834" s="18"/>
    </row>
    <row r="835" spans="41:67" ht="11.25" customHeight="1">
      <c r="AR835" s="19"/>
      <c r="AT835" s="19"/>
      <c r="AV835" s="19"/>
      <c r="AX835" s="19"/>
      <c r="AZ835" s="19"/>
      <c r="BB835" s="19"/>
      <c r="BD835" s="19"/>
      <c r="BF835" s="19"/>
      <c r="BH835" s="19"/>
      <c r="BJ835" s="19"/>
      <c r="BL835" s="19"/>
      <c r="BN835" s="19"/>
    </row>
    <row r="836" spans="41:67" ht="11.25" customHeight="1">
      <c r="AR836" s="19"/>
      <c r="AT836" s="19"/>
      <c r="AV836" s="19"/>
      <c r="AX836" s="19"/>
      <c r="AZ836" s="19"/>
      <c r="BB836" s="19"/>
      <c r="BD836" s="19"/>
      <c r="BF836" s="19"/>
      <c r="BH836" s="19"/>
      <c r="BJ836" s="19"/>
      <c r="BL836" s="19"/>
      <c r="BN836" s="19"/>
    </row>
    <row r="837" spans="41:67" ht="11.25" customHeight="1">
      <c r="AQ837" s="17"/>
      <c r="AR837" s="19"/>
      <c r="AT837" s="19"/>
      <c r="AV837" s="19"/>
      <c r="AX837" s="19"/>
      <c r="AZ837" s="19"/>
      <c r="BB837" s="19"/>
      <c r="BD837" s="19"/>
      <c r="BF837" s="19"/>
      <c r="BH837" s="19"/>
      <c r="BJ837" s="19"/>
      <c r="BL837" s="19"/>
      <c r="BN837" s="19"/>
    </row>
    <row r="838" spans="41:67" ht="11.25" customHeight="1">
      <c r="AQ838" s="18"/>
      <c r="AS838" s="18"/>
      <c r="AU838" s="18"/>
      <c r="AW838" s="18"/>
      <c r="AY838" s="18"/>
      <c r="BA838" s="18"/>
      <c r="BC838" s="18"/>
      <c r="BE838" s="18"/>
      <c r="BG838" s="18"/>
      <c r="BI838" s="18"/>
      <c r="BK838" s="18"/>
      <c r="BM838" s="18"/>
      <c r="BO838" s="18"/>
    </row>
    <row r="839" spans="41:67" ht="11.25" customHeight="1">
      <c r="AQ839" s="18"/>
      <c r="AS839" s="18"/>
      <c r="AU839" s="18"/>
      <c r="AW839" s="18"/>
      <c r="AY839" s="18"/>
      <c r="BA839" s="18"/>
      <c r="BC839" s="18"/>
      <c r="BE839" s="18"/>
      <c r="BG839" s="18"/>
      <c r="BI839" s="18"/>
      <c r="BK839" s="18"/>
      <c r="BM839" s="18"/>
      <c r="BO839" s="18"/>
    </row>
    <row r="840" spans="41:67" ht="11.25" customHeight="1">
      <c r="AQ840" s="19"/>
      <c r="AS840" s="19"/>
      <c r="AU840" s="19"/>
      <c r="AW840" s="19"/>
      <c r="AY840" s="19"/>
      <c r="BA840" s="19"/>
      <c r="BC840" s="19"/>
      <c r="BE840" s="19"/>
      <c r="BG840" s="19"/>
      <c r="BI840" s="19"/>
      <c r="BK840" s="19"/>
      <c r="BM840" s="19"/>
      <c r="BO840" s="19"/>
    </row>
    <row r="841" spans="41:67" ht="11.25" customHeight="1">
      <c r="AQ841" s="19"/>
      <c r="AS841" s="19"/>
      <c r="AU841" s="19"/>
      <c r="AW841" s="19"/>
      <c r="AY841" s="19"/>
      <c r="BA841" s="19"/>
      <c r="BC841" s="19"/>
      <c r="BE841" s="19"/>
      <c r="BG841" s="19"/>
      <c r="BI841" s="19"/>
      <c r="BK841" s="19"/>
      <c r="BM841" s="19"/>
      <c r="BO841" s="19"/>
    </row>
    <row r="842" spans="41:67" ht="11.25" customHeight="1">
      <c r="AP842" s="17"/>
      <c r="AQ842" s="19"/>
      <c r="AS842" s="19"/>
      <c r="AU842" s="19"/>
      <c r="AW842" s="19"/>
      <c r="AY842" s="19"/>
      <c r="BA842" s="19"/>
      <c r="BC842" s="19"/>
      <c r="BE842" s="19"/>
      <c r="BG842" s="19"/>
      <c r="BI842" s="19"/>
      <c r="BK842" s="19"/>
      <c r="BM842" s="19"/>
      <c r="BO842" s="19"/>
    </row>
    <row r="843" spans="41:67" ht="11.25" customHeight="1">
      <c r="AP843" s="18"/>
      <c r="AR843" s="18"/>
      <c r="AT843" s="18"/>
      <c r="AV843" s="18"/>
      <c r="AX843" s="18"/>
      <c r="AZ843" s="18"/>
      <c r="BB843" s="18"/>
      <c r="BD843" s="18"/>
      <c r="BF843" s="18"/>
      <c r="BH843" s="18"/>
      <c r="BJ843" s="18"/>
      <c r="BL843" s="18"/>
      <c r="BN843" s="18"/>
    </row>
    <row r="844" spans="41:67" ht="11.25" customHeight="1">
      <c r="AP844" s="18"/>
      <c r="AR844" s="18"/>
      <c r="AT844" s="18"/>
      <c r="AV844" s="18"/>
      <c r="AX844" s="18"/>
      <c r="AZ844" s="18"/>
      <c r="BB844" s="18"/>
      <c r="BD844" s="18"/>
      <c r="BF844" s="18"/>
      <c r="BH844" s="18"/>
      <c r="BJ844" s="18"/>
      <c r="BL844" s="18"/>
      <c r="BN844" s="18"/>
    </row>
    <row r="845" spans="41:67" ht="11.25" customHeight="1">
      <c r="AP845" s="19"/>
      <c r="AR845" s="19"/>
      <c r="AT845" s="19"/>
      <c r="AV845" s="19"/>
      <c r="AX845" s="19"/>
      <c r="AZ845" s="19"/>
      <c r="BB845" s="19"/>
      <c r="BD845" s="19"/>
      <c r="BF845" s="19"/>
      <c r="BH845" s="19"/>
      <c r="BJ845" s="19"/>
      <c r="BL845" s="19"/>
      <c r="BN845" s="19"/>
    </row>
    <row r="846" spans="41:67" ht="11.25" customHeight="1">
      <c r="AP846" s="19"/>
      <c r="AR846" s="19"/>
      <c r="AT846" s="19"/>
      <c r="AV846" s="19"/>
      <c r="AX846" s="19"/>
      <c r="AZ846" s="19"/>
      <c r="BB846" s="19"/>
      <c r="BD846" s="19"/>
      <c r="BF846" s="19"/>
      <c r="BH846" s="19"/>
      <c r="BJ846" s="19"/>
      <c r="BL846" s="19"/>
      <c r="BN846" s="19"/>
    </row>
    <row r="847" spans="41:67" ht="11.25" customHeight="1">
      <c r="AO847" s="17"/>
      <c r="AP847" s="19"/>
      <c r="AR847" s="19"/>
      <c r="AT847" s="19"/>
      <c r="AV847" s="19"/>
      <c r="AX847" s="19"/>
      <c r="AZ847" s="19"/>
      <c r="BB847" s="19"/>
      <c r="BD847" s="19"/>
      <c r="BF847" s="19"/>
      <c r="BH847" s="19"/>
      <c r="BJ847" s="19"/>
      <c r="BL847" s="19"/>
      <c r="BN847" s="19"/>
    </row>
    <row r="848" spans="41:67" ht="11.25" customHeight="1">
      <c r="AO848" s="18"/>
      <c r="AQ848" s="18"/>
      <c r="AS848" s="18"/>
      <c r="AU848" s="18"/>
      <c r="AW848" s="18"/>
      <c r="AY848" s="18"/>
      <c r="BA848" s="18"/>
      <c r="BC848" s="18"/>
      <c r="BE848" s="18"/>
      <c r="BG848" s="18"/>
      <c r="BI848" s="18"/>
      <c r="BK848" s="18"/>
      <c r="BM848" s="18"/>
      <c r="BO848" s="18"/>
    </row>
    <row r="849" spans="38:67" ht="11.25" customHeight="1">
      <c r="AO849" s="18"/>
      <c r="AQ849" s="18"/>
      <c r="AS849" s="18"/>
      <c r="AU849" s="18"/>
      <c r="AW849" s="18"/>
      <c r="AY849" s="18"/>
      <c r="BA849" s="18"/>
      <c r="BC849" s="18"/>
      <c r="BE849" s="18"/>
      <c r="BG849" s="18"/>
      <c r="BI849" s="18"/>
      <c r="BK849" s="18"/>
      <c r="BM849" s="18"/>
      <c r="BO849" s="18"/>
    </row>
    <row r="850" spans="38:67" ht="11.25" customHeight="1">
      <c r="AO850" s="19"/>
      <c r="AQ850" s="19"/>
      <c r="AS850" s="19"/>
      <c r="AU850" s="19"/>
      <c r="AW850" s="19"/>
      <c r="AY850" s="19"/>
      <c r="BA850" s="19"/>
      <c r="BC850" s="19"/>
      <c r="BE850" s="19"/>
      <c r="BG850" s="19"/>
      <c r="BI850" s="19"/>
      <c r="BK850" s="19"/>
      <c r="BM850" s="19"/>
      <c r="BO850" s="19"/>
    </row>
    <row r="851" spans="38:67" ht="11.25" customHeight="1">
      <c r="AO851" s="19"/>
      <c r="AQ851" s="19"/>
      <c r="AS851" s="19"/>
      <c r="AU851" s="19"/>
      <c r="AW851" s="19"/>
      <c r="AY851" s="19"/>
      <c r="BA851" s="19"/>
      <c r="BC851" s="19"/>
      <c r="BE851" s="19"/>
      <c r="BG851" s="19"/>
      <c r="BI851" s="19"/>
      <c r="BK851" s="19"/>
      <c r="BM851" s="19"/>
      <c r="BO851" s="19"/>
    </row>
    <row r="852" spans="38:67" ht="11.25" customHeight="1">
      <c r="AN852" s="17"/>
      <c r="AO852" s="19"/>
      <c r="AQ852" s="19"/>
      <c r="AS852" s="19"/>
      <c r="AU852" s="19"/>
      <c r="AW852" s="19"/>
      <c r="AY852" s="19"/>
      <c r="BA852" s="19"/>
      <c r="BC852" s="19"/>
      <c r="BE852" s="19"/>
      <c r="BG852" s="19"/>
      <c r="BI852" s="19"/>
      <c r="BK852" s="19"/>
      <c r="BM852" s="19"/>
      <c r="BO852" s="19"/>
    </row>
    <row r="853" spans="38:67" ht="11.25" customHeight="1">
      <c r="AN853" s="18"/>
      <c r="AP853" s="18"/>
      <c r="AR853" s="18"/>
      <c r="AT853" s="18"/>
      <c r="AV853" s="18"/>
      <c r="AX853" s="18"/>
      <c r="AZ853" s="18"/>
      <c r="BB853" s="18"/>
      <c r="BD853" s="18"/>
      <c r="BF853" s="18"/>
      <c r="BH853" s="18"/>
      <c r="BJ853" s="18"/>
      <c r="BL853" s="18"/>
      <c r="BN853" s="18"/>
    </row>
    <row r="854" spans="38:67" ht="11.25" customHeight="1">
      <c r="AN854" s="18"/>
      <c r="AP854" s="18"/>
      <c r="AR854" s="18"/>
      <c r="AT854" s="18"/>
      <c r="AV854" s="18"/>
      <c r="AX854" s="18"/>
      <c r="AZ854" s="18"/>
      <c r="BB854" s="18"/>
      <c r="BD854" s="18"/>
      <c r="BF854" s="18"/>
      <c r="BH854" s="18"/>
      <c r="BJ854" s="18"/>
      <c r="BL854" s="18"/>
      <c r="BN854" s="18"/>
    </row>
    <row r="855" spans="38:67" ht="11.25" customHeight="1">
      <c r="AN855" s="19"/>
      <c r="AP855" s="19"/>
      <c r="AR855" s="19"/>
      <c r="AT855" s="19"/>
      <c r="AV855" s="19"/>
      <c r="AX855" s="19"/>
      <c r="AZ855" s="19"/>
      <c r="BB855" s="19"/>
      <c r="BD855" s="19"/>
      <c r="BF855" s="19"/>
      <c r="BH855" s="19"/>
      <c r="BJ855" s="19"/>
      <c r="BL855" s="19"/>
      <c r="BN855" s="19"/>
    </row>
    <row r="856" spans="38:67" ht="11.25" customHeight="1">
      <c r="AN856" s="19"/>
      <c r="AP856" s="19"/>
      <c r="AR856" s="19"/>
      <c r="AT856" s="19"/>
      <c r="AV856" s="19"/>
      <c r="AX856" s="19"/>
      <c r="AZ856" s="19"/>
      <c r="BB856" s="19"/>
      <c r="BD856" s="19"/>
      <c r="BF856" s="19"/>
      <c r="BH856" s="19"/>
      <c r="BJ856" s="19"/>
      <c r="BL856" s="19"/>
      <c r="BN856" s="19"/>
    </row>
    <row r="857" spans="38:67" ht="11.25" customHeight="1">
      <c r="AM857" s="17"/>
      <c r="AN857" s="19"/>
      <c r="AP857" s="19"/>
      <c r="AR857" s="19"/>
      <c r="AT857" s="19"/>
      <c r="AV857" s="19"/>
      <c r="AX857" s="19"/>
      <c r="AZ857" s="19"/>
      <c r="BB857" s="19"/>
      <c r="BD857" s="19"/>
      <c r="BF857" s="19"/>
      <c r="BH857" s="19"/>
      <c r="BJ857" s="19"/>
      <c r="BL857" s="19"/>
      <c r="BN857" s="19"/>
    </row>
    <row r="858" spans="38:67" ht="11.25" customHeight="1">
      <c r="AM858" s="18"/>
      <c r="AO858" s="18"/>
      <c r="AQ858" s="18"/>
      <c r="AS858" s="18"/>
      <c r="AU858" s="18"/>
      <c r="AW858" s="18"/>
      <c r="AY858" s="18"/>
      <c r="BA858" s="18"/>
      <c r="BC858" s="18"/>
      <c r="BE858" s="18"/>
      <c r="BG858" s="18"/>
      <c r="BI858" s="18"/>
      <c r="BK858" s="18"/>
      <c r="BM858" s="18"/>
      <c r="BO858" s="18"/>
    </row>
    <row r="859" spans="38:67" ht="11.25" customHeight="1">
      <c r="AM859" s="18"/>
      <c r="AO859" s="18"/>
      <c r="AQ859" s="18"/>
      <c r="AS859" s="18"/>
      <c r="AU859" s="18"/>
      <c r="AW859" s="18"/>
      <c r="AY859" s="18"/>
      <c r="BA859" s="18"/>
      <c r="BC859" s="18"/>
      <c r="BE859" s="18"/>
      <c r="BG859" s="18"/>
      <c r="BI859" s="18"/>
      <c r="BK859" s="18"/>
      <c r="BM859" s="18"/>
      <c r="BO859" s="18"/>
    </row>
    <row r="860" spans="38:67" ht="11.25" customHeight="1">
      <c r="AM860" s="19"/>
      <c r="AO860" s="19"/>
      <c r="AQ860" s="19"/>
      <c r="AS860" s="19"/>
      <c r="AU860" s="19"/>
      <c r="AW860" s="19"/>
      <c r="AY860" s="19"/>
      <c r="BA860" s="19"/>
      <c r="BC860" s="19"/>
      <c r="BE860" s="19"/>
      <c r="BG860" s="19"/>
      <c r="BI860" s="19"/>
      <c r="BK860" s="19"/>
      <c r="BM860" s="19"/>
      <c r="BO860" s="19"/>
    </row>
    <row r="861" spans="38:67" ht="11.25" customHeight="1">
      <c r="AM861" s="19"/>
      <c r="AO861" s="19"/>
      <c r="AQ861" s="19"/>
      <c r="AS861" s="19"/>
      <c r="AU861" s="19"/>
      <c r="AW861" s="19"/>
      <c r="AY861" s="19"/>
      <c r="BA861" s="19"/>
      <c r="BC861" s="19"/>
      <c r="BE861" s="19"/>
      <c r="BG861" s="19"/>
      <c r="BI861" s="19"/>
      <c r="BK861" s="19"/>
      <c r="BM861" s="19"/>
      <c r="BO861" s="19"/>
    </row>
    <row r="862" spans="38:67" ht="11.25" customHeight="1">
      <c r="AL862" s="17"/>
      <c r="AM862" s="19"/>
      <c r="AO862" s="19"/>
      <c r="AQ862" s="19"/>
      <c r="AS862" s="19"/>
      <c r="AU862" s="19"/>
      <c r="AW862" s="19"/>
      <c r="AY862" s="19"/>
      <c r="BA862" s="19"/>
      <c r="BC862" s="19"/>
      <c r="BE862" s="19"/>
      <c r="BG862" s="19"/>
      <c r="BI862" s="19"/>
      <c r="BK862" s="19"/>
      <c r="BM862" s="19"/>
      <c r="BO862" s="19"/>
    </row>
    <row r="863" spans="38:67" ht="11.25" customHeight="1">
      <c r="AL863" s="18"/>
      <c r="AN863" s="18"/>
      <c r="AP863" s="18"/>
      <c r="AR863" s="18"/>
      <c r="AT863" s="18"/>
      <c r="AV863" s="18"/>
      <c r="AX863" s="18"/>
      <c r="AZ863" s="18"/>
      <c r="BB863" s="18"/>
      <c r="BD863" s="18"/>
      <c r="BF863" s="18"/>
      <c r="BH863" s="18"/>
      <c r="BJ863" s="18"/>
      <c r="BL863" s="18"/>
      <c r="BN863" s="18"/>
    </row>
    <row r="864" spans="38:67" ht="11.25" customHeight="1">
      <c r="AL864" s="18"/>
      <c r="AN864" s="18"/>
      <c r="AP864" s="18"/>
      <c r="AR864" s="18"/>
      <c r="AT864" s="18"/>
      <c r="AV864" s="18"/>
      <c r="AX864" s="18"/>
      <c r="AZ864" s="18"/>
      <c r="BB864" s="18"/>
      <c r="BD864" s="18"/>
      <c r="BF864" s="18"/>
      <c r="BH864" s="18"/>
      <c r="BJ864" s="18"/>
      <c r="BL864" s="18"/>
      <c r="BN864" s="18"/>
    </row>
    <row r="865" spans="35:67" ht="11.25" customHeight="1">
      <c r="AL865" s="19"/>
      <c r="AN865" s="19"/>
      <c r="AP865" s="19"/>
      <c r="AR865" s="19"/>
      <c r="AT865" s="19"/>
      <c r="AV865" s="19"/>
      <c r="AX865" s="19"/>
      <c r="AZ865" s="19"/>
      <c r="BB865" s="19"/>
      <c r="BD865" s="19"/>
      <c r="BF865" s="19"/>
      <c r="BH865" s="19"/>
      <c r="BJ865" s="19"/>
      <c r="BL865" s="19"/>
      <c r="BN865" s="19"/>
    </row>
    <row r="866" spans="35:67" ht="11.25" customHeight="1">
      <c r="AL866" s="19"/>
      <c r="AN866" s="19"/>
      <c r="AP866" s="19"/>
      <c r="AR866" s="19"/>
      <c r="AT866" s="19"/>
      <c r="AV866" s="19"/>
      <c r="AX866" s="19"/>
      <c r="AZ866" s="19"/>
      <c r="BB866" s="19"/>
      <c r="BD866" s="19"/>
      <c r="BF866" s="19"/>
      <c r="BH866" s="19"/>
      <c r="BJ866" s="19"/>
      <c r="BL866" s="19"/>
      <c r="BN866" s="19"/>
    </row>
    <row r="867" spans="35:67" ht="11.25" customHeight="1">
      <c r="AK867" s="17"/>
      <c r="AL867" s="19"/>
      <c r="AN867" s="19"/>
      <c r="AP867" s="19"/>
      <c r="AR867" s="19"/>
      <c r="AT867" s="19"/>
      <c r="AV867" s="19"/>
      <c r="AX867" s="19"/>
      <c r="AZ867" s="19"/>
      <c r="BB867" s="19"/>
      <c r="BD867" s="19"/>
      <c r="BF867" s="19"/>
      <c r="BH867" s="19"/>
      <c r="BJ867" s="19"/>
      <c r="BL867" s="19"/>
      <c r="BN867" s="19"/>
    </row>
    <row r="868" spans="35:67" ht="11.25" customHeight="1">
      <c r="AK868" s="18"/>
      <c r="AM868" s="18"/>
      <c r="AO868" s="18"/>
      <c r="AQ868" s="18"/>
      <c r="AS868" s="18"/>
      <c r="AU868" s="18"/>
      <c r="AW868" s="18"/>
      <c r="AY868" s="18"/>
      <c r="BA868" s="18"/>
      <c r="BC868" s="18"/>
      <c r="BE868" s="18"/>
      <c r="BG868" s="18"/>
      <c r="BI868" s="18"/>
      <c r="BK868" s="18"/>
      <c r="BM868" s="18"/>
      <c r="BO868" s="18"/>
    </row>
    <row r="869" spans="35:67" ht="11.25" customHeight="1">
      <c r="AK869" s="18"/>
      <c r="AM869" s="18"/>
      <c r="AO869" s="18"/>
      <c r="AQ869" s="18"/>
      <c r="AS869" s="18"/>
      <c r="AU869" s="18"/>
      <c r="AW869" s="18"/>
      <c r="AY869" s="18"/>
      <c r="BA869" s="18"/>
      <c r="BC869" s="18"/>
      <c r="BE869" s="18"/>
      <c r="BG869" s="18"/>
      <c r="BI869" s="18"/>
      <c r="BK869" s="18"/>
      <c r="BM869" s="18"/>
      <c r="BO869" s="18"/>
    </row>
    <row r="870" spans="35:67" ht="11.25" customHeight="1">
      <c r="AK870" s="19"/>
      <c r="AM870" s="19"/>
      <c r="AO870" s="19"/>
      <c r="AQ870" s="19"/>
      <c r="AS870" s="19"/>
      <c r="AU870" s="19"/>
      <c r="AW870" s="19"/>
      <c r="AY870" s="19"/>
      <c r="BA870" s="19"/>
      <c r="BC870" s="19"/>
      <c r="BE870" s="19"/>
      <c r="BG870" s="19"/>
      <c r="BI870" s="19"/>
      <c r="BK870" s="19"/>
      <c r="BM870" s="19"/>
      <c r="BO870" s="19"/>
    </row>
    <row r="871" spans="35:67" ht="11.25" customHeight="1">
      <c r="AK871" s="19"/>
      <c r="AM871" s="19"/>
      <c r="AO871" s="19"/>
      <c r="AQ871" s="19"/>
      <c r="AS871" s="19"/>
      <c r="AU871" s="19"/>
      <c r="AW871" s="19"/>
      <c r="AY871" s="19"/>
      <c r="BA871" s="19"/>
      <c r="BC871" s="19"/>
      <c r="BE871" s="19"/>
      <c r="BG871" s="19"/>
      <c r="BI871" s="19"/>
      <c r="BK871" s="19"/>
      <c r="BM871" s="19"/>
      <c r="BO871" s="19"/>
    </row>
    <row r="872" spans="35:67" ht="11.25" customHeight="1">
      <c r="AJ872" s="17"/>
      <c r="AK872" s="19"/>
      <c r="AM872" s="19"/>
      <c r="AO872" s="19"/>
      <c r="AQ872" s="19"/>
      <c r="AS872" s="19"/>
      <c r="AU872" s="19"/>
      <c r="AW872" s="19"/>
      <c r="AY872" s="19"/>
      <c r="BA872" s="19"/>
      <c r="BC872" s="19"/>
      <c r="BE872" s="19"/>
      <c r="BG872" s="19"/>
      <c r="BI872" s="19"/>
      <c r="BK872" s="19"/>
      <c r="BM872" s="19"/>
      <c r="BO872" s="19"/>
    </row>
    <row r="873" spans="35:67" ht="11.25" customHeight="1">
      <c r="AJ873" s="18"/>
      <c r="AL873" s="18"/>
      <c r="AN873" s="18"/>
      <c r="AP873" s="18"/>
      <c r="AR873" s="18"/>
      <c r="AT873" s="18"/>
      <c r="AV873" s="18"/>
      <c r="AX873" s="18"/>
      <c r="AZ873" s="18"/>
      <c r="BB873" s="18"/>
      <c r="BD873" s="18"/>
      <c r="BF873" s="18"/>
      <c r="BH873" s="18"/>
      <c r="BJ873" s="18"/>
      <c r="BL873" s="18"/>
      <c r="BN873" s="18"/>
    </row>
    <row r="874" spans="35:67" ht="11.25" customHeight="1">
      <c r="AJ874" s="18"/>
      <c r="AL874" s="18"/>
      <c r="AN874" s="18"/>
      <c r="AP874" s="18"/>
      <c r="AR874" s="18"/>
      <c r="AT874" s="18"/>
      <c r="AV874" s="18"/>
      <c r="AX874" s="18"/>
      <c r="AZ874" s="18"/>
      <c r="BB874" s="18"/>
      <c r="BD874" s="18"/>
      <c r="BF874" s="18"/>
      <c r="BH874" s="18"/>
      <c r="BJ874" s="18"/>
      <c r="BL874" s="18"/>
      <c r="BN874" s="18"/>
    </row>
    <row r="875" spans="35:67" ht="11.25" customHeight="1">
      <c r="AJ875" s="19"/>
      <c r="AL875" s="19"/>
      <c r="AN875" s="19"/>
      <c r="AP875" s="19"/>
      <c r="AR875" s="19"/>
      <c r="AT875" s="19"/>
      <c r="AV875" s="19"/>
      <c r="AX875" s="19"/>
      <c r="AZ875" s="19"/>
      <c r="BB875" s="19"/>
      <c r="BD875" s="19"/>
      <c r="BF875" s="19"/>
      <c r="BH875" s="19"/>
      <c r="BJ875" s="19"/>
      <c r="BL875" s="19"/>
      <c r="BN875" s="19"/>
    </row>
    <row r="876" spans="35:67" ht="11.25" customHeight="1">
      <c r="AJ876" s="19"/>
      <c r="AL876" s="19"/>
      <c r="AN876" s="19"/>
      <c r="AP876" s="19"/>
      <c r="AR876" s="19"/>
      <c r="AT876" s="19"/>
      <c r="AV876" s="19"/>
      <c r="AX876" s="19"/>
      <c r="AZ876" s="19"/>
      <c r="BB876" s="19"/>
      <c r="BD876" s="19"/>
      <c r="BF876" s="19"/>
      <c r="BH876" s="19"/>
      <c r="BJ876" s="19"/>
      <c r="BL876" s="19"/>
      <c r="BN876" s="19"/>
    </row>
    <row r="877" spans="35:67" ht="11.25" customHeight="1">
      <c r="AI877" s="17"/>
      <c r="AJ877" s="19"/>
      <c r="AL877" s="19"/>
      <c r="AN877" s="19"/>
      <c r="AP877" s="19"/>
      <c r="AR877" s="19"/>
      <c r="AT877" s="19"/>
      <c r="AV877" s="19"/>
      <c r="AX877" s="19"/>
      <c r="AZ877" s="19"/>
      <c r="BB877" s="19"/>
      <c r="BD877" s="19"/>
      <c r="BF877" s="19"/>
      <c r="BH877" s="19"/>
      <c r="BJ877" s="19"/>
      <c r="BL877" s="19"/>
      <c r="BN877" s="19"/>
    </row>
    <row r="878" spans="35:67" ht="11.25" customHeight="1">
      <c r="AI878" s="18"/>
      <c r="AK878" s="18"/>
      <c r="AM878" s="18"/>
      <c r="AO878" s="18"/>
      <c r="AQ878" s="18"/>
      <c r="AS878" s="18"/>
      <c r="AU878" s="18"/>
      <c r="AW878" s="18"/>
      <c r="AY878" s="18"/>
      <c r="BA878" s="18"/>
      <c r="BC878" s="18"/>
      <c r="BE878" s="18"/>
      <c r="BG878" s="18"/>
      <c r="BI878" s="18"/>
      <c r="BK878" s="18"/>
      <c r="BM878" s="18"/>
      <c r="BO878" s="18"/>
    </row>
    <row r="879" spans="35:67" ht="11.25" customHeight="1">
      <c r="AI879" s="18"/>
      <c r="AK879" s="18"/>
      <c r="AM879" s="18"/>
      <c r="AO879" s="18"/>
      <c r="AQ879" s="18"/>
      <c r="AS879" s="18"/>
      <c r="AU879" s="18"/>
      <c r="AW879" s="18"/>
      <c r="AY879" s="18"/>
      <c r="BA879" s="18"/>
      <c r="BC879" s="18"/>
      <c r="BE879" s="18"/>
      <c r="BG879" s="18"/>
      <c r="BI879" s="18"/>
      <c r="BK879" s="18"/>
      <c r="BM879" s="18"/>
      <c r="BO879" s="18"/>
    </row>
    <row r="880" spans="35:67" ht="11.25" customHeight="1">
      <c r="AI880" s="19"/>
      <c r="AK880" s="19"/>
      <c r="AM880" s="19"/>
      <c r="AO880" s="19"/>
      <c r="AQ880" s="19"/>
      <c r="AS880" s="19"/>
      <c r="AU880" s="19"/>
      <c r="AW880" s="19"/>
      <c r="AY880" s="19"/>
      <c r="BA880" s="19"/>
      <c r="BC880" s="19"/>
      <c r="BE880" s="19"/>
      <c r="BG880" s="19"/>
      <c r="BI880" s="19"/>
      <c r="BK880" s="19"/>
      <c r="BM880" s="19"/>
      <c r="BO880" s="19"/>
    </row>
    <row r="881" spans="32:67" ht="11.25" customHeight="1">
      <c r="AI881" s="19"/>
      <c r="AK881" s="19"/>
      <c r="AM881" s="19"/>
      <c r="AO881" s="19"/>
      <c r="AQ881" s="19"/>
      <c r="AS881" s="19"/>
      <c r="AU881" s="19"/>
      <c r="AW881" s="19"/>
      <c r="AY881" s="19"/>
      <c r="BA881" s="19"/>
      <c r="BC881" s="19"/>
      <c r="BE881" s="19"/>
      <c r="BG881" s="19"/>
      <c r="BI881" s="19"/>
      <c r="BK881" s="19"/>
      <c r="BM881" s="19"/>
      <c r="BO881" s="19"/>
    </row>
    <row r="882" spans="32:67" ht="11.25" customHeight="1">
      <c r="AH882" s="17"/>
      <c r="AI882" s="19"/>
      <c r="AK882" s="19"/>
      <c r="AM882" s="19"/>
      <c r="AO882" s="19"/>
      <c r="AQ882" s="19"/>
      <c r="AS882" s="19"/>
      <c r="AU882" s="19"/>
      <c r="AW882" s="19"/>
      <c r="AY882" s="19"/>
      <c r="BA882" s="19"/>
      <c r="BC882" s="19"/>
      <c r="BE882" s="19"/>
      <c r="BG882" s="19"/>
      <c r="BI882" s="19"/>
      <c r="BK882" s="19"/>
      <c r="BM882" s="19"/>
      <c r="BO882" s="19"/>
    </row>
    <row r="883" spans="32:67" ht="11.25" customHeight="1">
      <c r="AH883" s="18"/>
      <c r="AJ883" s="18"/>
      <c r="AL883" s="18"/>
      <c r="AN883" s="18"/>
      <c r="AP883" s="18"/>
      <c r="AR883" s="18"/>
      <c r="AT883" s="18"/>
      <c r="AV883" s="18"/>
      <c r="AX883" s="18"/>
      <c r="AZ883" s="18"/>
      <c r="BB883" s="18"/>
      <c r="BD883" s="18"/>
      <c r="BF883" s="18"/>
      <c r="BH883" s="18"/>
      <c r="BJ883" s="18"/>
      <c r="BL883" s="18"/>
      <c r="BN883" s="18"/>
    </row>
    <row r="884" spans="32:67" ht="11.25" customHeight="1">
      <c r="AH884" s="18"/>
      <c r="AJ884" s="18"/>
      <c r="AL884" s="18"/>
      <c r="AN884" s="18"/>
      <c r="AP884" s="18"/>
      <c r="AR884" s="18"/>
      <c r="AT884" s="18"/>
      <c r="AV884" s="18"/>
      <c r="AX884" s="18"/>
      <c r="AZ884" s="18"/>
      <c r="BB884" s="18"/>
      <c r="BD884" s="18"/>
      <c r="BF884" s="18"/>
      <c r="BH884" s="18"/>
      <c r="BJ884" s="18"/>
      <c r="BL884" s="18"/>
      <c r="BN884" s="18"/>
    </row>
    <row r="885" spans="32:67" ht="11.25" customHeight="1">
      <c r="AH885" s="19"/>
      <c r="AJ885" s="19"/>
      <c r="AL885" s="19"/>
      <c r="AN885" s="19"/>
      <c r="AP885" s="19"/>
      <c r="AR885" s="19"/>
      <c r="AT885" s="19"/>
      <c r="AV885" s="19"/>
      <c r="AX885" s="19"/>
      <c r="AZ885" s="19"/>
      <c r="BB885" s="19"/>
      <c r="BD885" s="19"/>
      <c r="BF885" s="19"/>
      <c r="BH885" s="19"/>
      <c r="BJ885" s="19"/>
      <c r="BL885" s="19"/>
      <c r="BN885" s="19"/>
    </row>
    <row r="886" spans="32:67" ht="11.25" customHeight="1">
      <c r="AH886" s="19"/>
      <c r="AJ886" s="19"/>
      <c r="AL886" s="19"/>
      <c r="AN886" s="19"/>
      <c r="AP886" s="19"/>
      <c r="AR886" s="19"/>
      <c r="AT886" s="19"/>
      <c r="AV886" s="19"/>
      <c r="AX886" s="19"/>
      <c r="AZ886" s="19"/>
      <c r="BB886" s="19"/>
      <c r="BD886" s="19"/>
      <c r="BF886" s="19"/>
      <c r="BH886" s="19"/>
      <c r="BJ886" s="19"/>
      <c r="BL886" s="19"/>
      <c r="BN886" s="19"/>
    </row>
    <row r="887" spans="32:67" ht="11.25" customHeight="1">
      <c r="AG887" s="17"/>
      <c r="AH887" s="19"/>
      <c r="AJ887" s="19"/>
      <c r="AL887" s="19"/>
      <c r="AN887" s="19"/>
      <c r="AP887" s="19"/>
      <c r="AR887" s="19"/>
      <c r="AT887" s="19"/>
      <c r="AV887" s="19"/>
      <c r="AX887" s="19"/>
      <c r="AZ887" s="19"/>
      <c r="BB887" s="19"/>
      <c r="BD887" s="19"/>
      <c r="BF887" s="19"/>
      <c r="BH887" s="19"/>
      <c r="BJ887" s="19"/>
      <c r="BL887" s="19"/>
      <c r="BN887" s="19"/>
    </row>
    <row r="888" spans="32:67" ht="11.25" customHeight="1">
      <c r="AG888" s="18"/>
      <c r="AI888" s="18"/>
      <c r="AK888" s="18"/>
      <c r="AM888" s="18"/>
      <c r="AO888" s="18"/>
      <c r="AQ888" s="18"/>
      <c r="AS888" s="18"/>
      <c r="AU888" s="18"/>
      <c r="AW888" s="18"/>
      <c r="AY888" s="18"/>
      <c r="BA888" s="18"/>
      <c r="BC888" s="18"/>
      <c r="BE888" s="18"/>
      <c r="BG888" s="18"/>
      <c r="BI888" s="18"/>
      <c r="BK888" s="18"/>
      <c r="BM888" s="18"/>
      <c r="BO888" s="18"/>
    </row>
    <row r="889" spans="32:67" ht="11.25" customHeight="1">
      <c r="AG889" s="18"/>
      <c r="AI889" s="18"/>
      <c r="AK889" s="18"/>
      <c r="AM889" s="18"/>
      <c r="AO889" s="18"/>
      <c r="AQ889" s="18"/>
      <c r="AS889" s="18"/>
      <c r="AU889" s="18"/>
      <c r="AW889" s="18"/>
      <c r="AY889" s="18"/>
      <c r="BA889" s="18"/>
      <c r="BC889" s="18"/>
      <c r="BE889" s="18"/>
      <c r="BG889" s="18"/>
      <c r="BI889" s="18"/>
      <c r="BK889" s="18"/>
      <c r="BM889" s="18"/>
      <c r="BO889" s="18"/>
    </row>
    <row r="890" spans="32:67" ht="11.25" customHeight="1">
      <c r="AG890" s="19"/>
      <c r="AI890" s="19"/>
      <c r="AK890" s="19"/>
      <c r="AM890" s="19"/>
      <c r="AO890" s="19"/>
      <c r="AQ890" s="19"/>
      <c r="AS890" s="19"/>
      <c r="AU890" s="19"/>
      <c r="AW890" s="19"/>
      <c r="AY890" s="19"/>
      <c r="BA890" s="19"/>
      <c r="BC890" s="19"/>
      <c r="BE890" s="19"/>
      <c r="BG890" s="19"/>
      <c r="BI890" s="19"/>
      <c r="BK890" s="19"/>
      <c r="BM890" s="19"/>
      <c r="BO890" s="19"/>
    </row>
    <row r="891" spans="32:67" ht="11.25" customHeight="1">
      <c r="AG891" s="19"/>
      <c r="AI891" s="19"/>
      <c r="AK891" s="19"/>
      <c r="AM891" s="19"/>
      <c r="AO891" s="19"/>
      <c r="AQ891" s="19"/>
      <c r="AS891" s="19"/>
      <c r="AU891" s="19"/>
      <c r="AW891" s="19"/>
      <c r="AY891" s="19"/>
      <c r="BA891" s="19"/>
      <c r="BC891" s="19"/>
      <c r="BE891" s="19"/>
      <c r="BG891" s="19"/>
      <c r="BI891" s="19"/>
      <c r="BK891" s="19"/>
      <c r="BM891" s="19"/>
      <c r="BO891" s="19"/>
    </row>
    <row r="892" spans="32:67" ht="11.25" customHeight="1">
      <c r="AF892" s="17"/>
      <c r="AG892" s="19"/>
      <c r="AI892" s="19"/>
      <c r="AK892" s="19"/>
      <c r="AM892" s="19"/>
      <c r="AO892" s="19"/>
      <c r="AQ892" s="19"/>
      <c r="AS892" s="19"/>
      <c r="AU892" s="19"/>
      <c r="AW892" s="19"/>
      <c r="AY892" s="19"/>
      <c r="BA892" s="19"/>
      <c r="BC892" s="19"/>
      <c r="BE892" s="19"/>
      <c r="BG892" s="19"/>
      <c r="BI892" s="19"/>
      <c r="BK892" s="19"/>
      <c r="BM892" s="19"/>
      <c r="BO892" s="19"/>
    </row>
    <row r="893" spans="32:67" ht="11.25" customHeight="1">
      <c r="AF893" s="18"/>
      <c r="AH893" s="18"/>
      <c r="AJ893" s="18"/>
      <c r="AL893" s="18"/>
      <c r="AN893" s="18"/>
      <c r="AP893" s="18"/>
      <c r="AR893" s="18"/>
      <c r="AT893" s="18"/>
      <c r="AV893" s="18"/>
      <c r="AX893" s="18"/>
      <c r="AZ893" s="18"/>
      <c r="BB893" s="18"/>
      <c r="BD893" s="18"/>
      <c r="BF893" s="18"/>
      <c r="BH893" s="18"/>
      <c r="BJ893" s="18"/>
      <c r="BL893" s="18"/>
      <c r="BN893" s="18"/>
    </row>
    <row r="894" spans="32:67" ht="11.25" customHeight="1">
      <c r="AF894" s="18"/>
      <c r="AH894" s="18"/>
      <c r="AJ894" s="18"/>
      <c r="AL894" s="18"/>
      <c r="AN894" s="18"/>
      <c r="AP894" s="18"/>
      <c r="AR894" s="18"/>
      <c r="AT894" s="18"/>
      <c r="AV894" s="18"/>
      <c r="AX894" s="18"/>
      <c r="AZ894" s="18"/>
      <c r="BB894" s="18"/>
      <c r="BD894" s="18"/>
      <c r="BF894" s="18"/>
      <c r="BH894" s="18"/>
      <c r="BJ894" s="18"/>
      <c r="BL894" s="18"/>
      <c r="BN894" s="18"/>
    </row>
    <row r="895" spans="32:67" ht="11.25" customHeight="1">
      <c r="AF895" s="19"/>
      <c r="AH895" s="19"/>
      <c r="AJ895" s="19"/>
      <c r="AL895" s="19"/>
      <c r="AN895" s="19"/>
      <c r="AP895" s="19"/>
      <c r="AR895" s="19"/>
      <c r="AT895" s="19"/>
      <c r="AV895" s="19"/>
      <c r="AX895" s="19"/>
      <c r="AZ895" s="19"/>
      <c r="BB895" s="19"/>
      <c r="BD895" s="19"/>
      <c r="BF895" s="19"/>
      <c r="BH895" s="19"/>
      <c r="BJ895" s="19"/>
      <c r="BL895" s="19"/>
      <c r="BN895" s="19"/>
    </row>
    <row r="896" spans="32:67" ht="11.25" customHeight="1">
      <c r="AF896" s="19"/>
      <c r="AH896" s="19"/>
      <c r="AJ896" s="19"/>
      <c r="AL896" s="19"/>
      <c r="AN896" s="19"/>
      <c r="AP896" s="19"/>
      <c r="AR896" s="19"/>
      <c r="AT896" s="19"/>
      <c r="AV896" s="19"/>
      <c r="AX896" s="19"/>
      <c r="AZ896" s="19"/>
      <c r="BB896" s="19"/>
      <c r="BD896" s="19"/>
      <c r="BF896" s="19"/>
      <c r="BH896" s="19"/>
      <c r="BJ896" s="19"/>
      <c r="BL896" s="19"/>
      <c r="BN896" s="19"/>
    </row>
    <row r="897" spans="28:67" ht="11.25" customHeight="1">
      <c r="AE897" s="17"/>
      <c r="AF897" s="19"/>
      <c r="AH897" s="19"/>
      <c r="AJ897" s="19"/>
      <c r="AL897" s="19"/>
      <c r="AN897" s="19"/>
      <c r="AP897" s="19"/>
      <c r="AR897" s="19"/>
      <c r="AT897" s="19"/>
      <c r="AV897" s="19"/>
      <c r="AX897" s="19"/>
      <c r="AZ897" s="19"/>
      <c r="BB897" s="19"/>
      <c r="BD897" s="19"/>
      <c r="BF897" s="19"/>
      <c r="BH897" s="19"/>
      <c r="BJ897" s="19"/>
      <c r="BL897" s="19"/>
      <c r="BN897" s="19"/>
    </row>
    <row r="898" spans="28:67" ht="11.25" customHeight="1">
      <c r="AE898" s="18"/>
      <c r="AG898" s="18"/>
      <c r="AI898" s="18"/>
      <c r="AK898" s="18"/>
      <c r="AM898" s="18"/>
      <c r="AO898" s="18"/>
      <c r="AQ898" s="18"/>
      <c r="AS898" s="18"/>
      <c r="AU898" s="18"/>
      <c r="AW898" s="18"/>
      <c r="AY898" s="18"/>
      <c r="BA898" s="18"/>
      <c r="BC898" s="18"/>
      <c r="BE898" s="18"/>
      <c r="BG898" s="18"/>
      <c r="BI898" s="18"/>
      <c r="BK898" s="18"/>
      <c r="BM898" s="18"/>
      <c r="BO898" s="18"/>
    </row>
    <row r="899" spans="28:67" ht="11.25" customHeight="1">
      <c r="AE899" s="18"/>
      <c r="AG899" s="18"/>
      <c r="AI899" s="18"/>
      <c r="AK899" s="18"/>
      <c r="AM899" s="18"/>
      <c r="AO899" s="18"/>
      <c r="AQ899" s="18"/>
      <c r="AS899" s="18"/>
      <c r="AU899" s="18"/>
      <c r="AW899" s="18"/>
      <c r="AY899" s="18"/>
      <c r="BA899" s="18"/>
      <c r="BC899" s="18"/>
      <c r="BE899" s="18"/>
      <c r="BG899" s="18"/>
      <c r="BI899" s="18"/>
      <c r="BK899" s="18"/>
      <c r="BM899" s="18"/>
      <c r="BO899" s="18"/>
    </row>
    <row r="900" spans="28:67" ht="11.25" customHeight="1">
      <c r="AE900" s="19"/>
      <c r="AG900" s="19"/>
      <c r="AI900" s="19"/>
      <c r="AK900" s="19"/>
      <c r="AM900" s="19"/>
      <c r="AO900" s="19"/>
      <c r="AQ900" s="19"/>
      <c r="AS900" s="19"/>
      <c r="AU900" s="19"/>
      <c r="AW900" s="19"/>
      <c r="AY900" s="19"/>
      <c r="BA900" s="19"/>
      <c r="BC900" s="19"/>
      <c r="BE900" s="19"/>
      <c r="BG900" s="19"/>
      <c r="BI900" s="19"/>
      <c r="BK900" s="19"/>
      <c r="BM900" s="19"/>
      <c r="BO900" s="19"/>
    </row>
    <row r="901" spans="28:67" ht="11.25" customHeight="1">
      <c r="AE901" s="19"/>
      <c r="AG901" s="19"/>
      <c r="AI901" s="19"/>
      <c r="AK901" s="19"/>
      <c r="AM901" s="19"/>
      <c r="AO901" s="19"/>
      <c r="AQ901" s="19"/>
      <c r="AS901" s="19"/>
      <c r="AU901" s="19"/>
      <c r="AW901" s="19"/>
      <c r="AY901" s="19"/>
      <c r="BA901" s="19"/>
      <c r="BC901" s="19"/>
      <c r="BE901" s="19"/>
      <c r="BG901" s="19"/>
      <c r="BI901" s="19"/>
      <c r="BK901" s="19"/>
      <c r="BM901" s="19"/>
      <c r="BO901" s="19"/>
    </row>
    <row r="902" spans="28:67" ht="11.25" customHeight="1">
      <c r="AD902" s="17"/>
      <c r="AE902" s="19"/>
      <c r="AG902" s="19"/>
      <c r="AI902" s="19"/>
      <c r="AK902" s="19"/>
      <c r="AM902" s="19"/>
      <c r="AO902" s="19"/>
      <c r="AQ902" s="19"/>
      <c r="AS902" s="19"/>
      <c r="AU902" s="19"/>
      <c r="AW902" s="19"/>
      <c r="AY902" s="19"/>
      <c r="BA902" s="19"/>
      <c r="BC902" s="19"/>
      <c r="BE902" s="19"/>
      <c r="BG902" s="19"/>
      <c r="BI902" s="19"/>
      <c r="BK902" s="19"/>
      <c r="BM902" s="19"/>
      <c r="BO902" s="19"/>
    </row>
    <row r="903" spans="28:67" ht="11.25" customHeight="1">
      <c r="AD903" s="18"/>
      <c r="AF903" s="18"/>
      <c r="AH903" s="18"/>
      <c r="AJ903" s="18"/>
      <c r="AL903" s="18"/>
      <c r="AN903" s="18"/>
      <c r="AP903" s="18"/>
      <c r="AR903" s="18"/>
      <c r="AT903" s="18"/>
      <c r="AV903" s="18"/>
      <c r="AX903" s="18"/>
      <c r="AZ903" s="18"/>
      <c r="BB903" s="18"/>
      <c r="BD903" s="18"/>
      <c r="BF903" s="18"/>
      <c r="BH903" s="18"/>
      <c r="BJ903" s="18"/>
      <c r="BL903" s="18"/>
      <c r="BN903" s="18"/>
    </row>
    <row r="904" spans="28:67" ht="11.25" customHeight="1">
      <c r="AD904" s="18"/>
      <c r="AF904" s="18"/>
      <c r="AH904" s="18"/>
      <c r="AJ904" s="18"/>
      <c r="AL904" s="18"/>
      <c r="AN904" s="18"/>
      <c r="AP904" s="18"/>
      <c r="AR904" s="18"/>
      <c r="AT904" s="18"/>
      <c r="AV904" s="18"/>
      <c r="AX904" s="18"/>
      <c r="AZ904" s="18"/>
      <c r="BB904" s="18"/>
      <c r="BD904" s="18"/>
      <c r="BF904" s="18"/>
      <c r="BH904" s="18"/>
      <c r="BJ904" s="18"/>
      <c r="BL904" s="18"/>
      <c r="BN904" s="18"/>
    </row>
    <row r="905" spans="28:67" ht="11.25" customHeight="1">
      <c r="AD905" s="19"/>
      <c r="AF905" s="19"/>
      <c r="AH905" s="19"/>
      <c r="AJ905" s="19"/>
      <c r="AL905" s="19"/>
      <c r="AN905" s="19"/>
      <c r="AP905" s="19"/>
      <c r="AR905" s="19"/>
      <c r="AT905" s="19"/>
      <c r="AV905" s="19"/>
      <c r="AX905" s="19"/>
      <c r="AZ905" s="19"/>
      <c r="BB905" s="19"/>
      <c r="BD905" s="19"/>
      <c r="BF905" s="19"/>
      <c r="BH905" s="19"/>
      <c r="BJ905" s="19"/>
      <c r="BL905" s="19"/>
      <c r="BN905" s="19"/>
    </row>
    <row r="906" spans="28:67" ht="11.25" customHeight="1">
      <c r="AD906" s="19"/>
      <c r="AF906" s="19"/>
      <c r="AH906" s="19"/>
      <c r="AJ906" s="19"/>
      <c r="AL906" s="19"/>
      <c r="AN906" s="19"/>
      <c r="AP906" s="19"/>
      <c r="AR906" s="19"/>
      <c r="AT906" s="19"/>
      <c r="AV906" s="19"/>
      <c r="AX906" s="19"/>
      <c r="AZ906" s="19"/>
      <c r="BB906" s="19"/>
      <c r="BD906" s="19"/>
      <c r="BF906" s="19"/>
      <c r="BH906" s="19"/>
      <c r="BJ906" s="19"/>
      <c r="BL906" s="19"/>
      <c r="BN906" s="19"/>
    </row>
    <row r="907" spans="28:67" ht="11.25" customHeight="1">
      <c r="AC907" s="17"/>
      <c r="AD907" s="19"/>
      <c r="AF907" s="19"/>
      <c r="AH907" s="19"/>
      <c r="AJ907" s="19"/>
      <c r="AL907" s="19"/>
      <c r="AN907" s="19"/>
      <c r="AP907" s="19"/>
      <c r="AR907" s="19"/>
      <c r="AT907" s="19"/>
      <c r="AV907" s="19"/>
      <c r="AX907" s="19"/>
      <c r="AZ907" s="19"/>
      <c r="BB907" s="19"/>
      <c r="BD907" s="19"/>
      <c r="BF907" s="19"/>
      <c r="BH907" s="19"/>
      <c r="BJ907" s="19"/>
      <c r="BL907" s="19"/>
      <c r="BN907" s="19"/>
    </row>
    <row r="908" spans="28:67" ht="11.25" customHeight="1">
      <c r="AC908" s="18"/>
      <c r="AE908" s="18"/>
      <c r="AG908" s="18"/>
      <c r="AI908" s="18"/>
      <c r="AK908" s="18"/>
      <c r="AM908" s="18"/>
      <c r="AO908" s="18"/>
      <c r="AQ908" s="18"/>
      <c r="AS908" s="18"/>
      <c r="AU908" s="18"/>
      <c r="AW908" s="18"/>
      <c r="AY908" s="18"/>
      <c r="BA908" s="18"/>
      <c r="BC908" s="18"/>
      <c r="BE908" s="18"/>
      <c r="BG908" s="18"/>
      <c r="BI908" s="18"/>
      <c r="BK908" s="18"/>
      <c r="BM908" s="18"/>
      <c r="BO908" s="18"/>
    </row>
    <row r="909" spans="28:67" ht="11.25" customHeight="1">
      <c r="AC909" s="18"/>
      <c r="AE909" s="18"/>
      <c r="AG909" s="18"/>
      <c r="AI909" s="18"/>
      <c r="AK909" s="18"/>
      <c r="AM909" s="18"/>
      <c r="AO909" s="18"/>
      <c r="AQ909" s="18"/>
      <c r="AS909" s="18"/>
      <c r="AU909" s="18"/>
      <c r="AW909" s="18"/>
      <c r="AY909" s="18"/>
      <c r="BA909" s="18"/>
      <c r="BC909" s="18"/>
      <c r="BE909" s="18"/>
      <c r="BG909" s="18"/>
      <c r="BI909" s="18"/>
      <c r="BK909" s="18"/>
      <c r="BM909" s="18"/>
      <c r="BO909" s="18"/>
    </row>
    <row r="910" spans="28:67" ht="11.25" customHeight="1">
      <c r="AC910" s="19"/>
      <c r="AE910" s="19"/>
      <c r="AG910" s="19"/>
      <c r="AI910" s="19"/>
      <c r="AK910" s="19"/>
      <c r="AM910" s="19"/>
      <c r="AO910" s="19"/>
      <c r="AQ910" s="19"/>
      <c r="AS910" s="19"/>
      <c r="AU910" s="19"/>
      <c r="AW910" s="19"/>
      <c r="AY910" s="19"/>
      <c r="BA910" s="19"/>
      <c r="BC910" s="19"/>
      <c r="BE910" s="19"/>
      <c r="BG910" s="19"/>
      <c r="BI910" s="19"/>
      <c r="BK910" s="19"/>
      <c r="BM910" s="19"/>
      <c r="BO910" s="19"/>
    </row>
    <row r="911" spans="28:67" ht="11.25" customHeight="1">
      <c r="AC911" s="19"/>
      <c r="AE911" s="19"/>
      <c r="AG911" s="19"/>
      <c r="AI911" s="19"/>
      <c r="AK911" s="19"/>
      <c r="AM911" s="19"/>
      <c r="AO911" s="19"/>
      <c r="AQ911" s="19"/>
      <c r="AS911" s="19"/>
      <c r="AU911" s="19"/>
      <c r="AW911" s="19"/>
      <c r="AY911" s="19"/>
      <c r="BA911" s="19"/>
      <c r="BC911" s="19"/>
      <c r="BE911" s="19"/>
      <c r="BG911" s="19"/>
      <c r="BI911" s="19"/>
      <c r="BK911" s="19"/>
      <c r="BM911" s="19"/>
      <c r="BO911" s="19"/>
    </row>
    <row r="912" spans="28:67" ht="11.25" customHeight="1">
      <c r="AB912" s="17"/>
      <c r="AC912" s="19"/>
      <c r="AE912" s="19"/>
      <c r="AG912" s="19"/>
      <c r="AI912" s="19"/>
      <c r="AK912" s="19"/>
      <c r="AM912" s="19"/>
      <c r="AO912" s="19"/>
      <c r="AQ912" s="19"/>
      <c r="AS912" s="19"/>
      <c r="AU912" s="19"/>
      <c r="AW912" s="19"/>
      <c r="AY912" s="19"/>
      <c r="BA912" s="19"/>
      <c r="BC912" s="19"/>
      <c r="BE912" s="19"/>
      <c r="BG912" s="19"/>
      <c r="BI912" s="19"/>
      <c r="BK912" s="19"/>
      <c r="BM912" s="19"/>
      <c r="BO912" s="19"/>
    </row>
    <row r="913" spans="25:67" ht="11.25" customHeight="1">
      <c r="AB913" s="18"/>
      <c r="AD913" s="18"/>
      <c r="AF913" s="18"/>
      <c r="AH913" s="18"/>
      <c r="AJ913" s="18"/>
      <c r="AL913" s="18"/>
      <c r="AN913" s="18"/>
      <c r="AP913" s="18"/>
      <c r="AR913" s="18"/>
      <c r="AT913" s="18"/>
      <c r="AV913" s="18"/>
      <c r="AX913" s="18"/>
      <c r="AZ913" s="18"/>
      <c r="BB913" s="18"/>
      <c r="BD913" s="18"/>
      <c r="BF913" s="18"/>
      <c r="BH913" s="18"/>
      <c r="BJ913" s="18"/>
      <c r="BL913" s="18"/>
      <c r="BN913" s="18"/>
    </row>
    <row r="914" spans="25:67" ht="11.25" customHeight="1">
      <c r="AB914" s="18"/>
      <c r="AD914" s="18"/>
      <c r="AF914" s="18"/>
      <c r="AH914" s="18"/>
      <c r="AJ914" s="18"/>
      <c r="AL914" s="18"/>
      <c r="AN914" s="18"/>
      <c r="AP914" s="18"/>
      <c r="AR914" s="18"/>
      <c r="AT914" s="18"/>
      <c r="AV914" s="18"/>
      <c r="AX914" s="18"/>
      <c r="AZ914" s="18"/>
      <c r="BB914" s="18"/>
      <c r="BD914" s="18"/>
      <c r="BF914" s="18"/>
      <c r="BH914" s="18"/>
      <c r="BJ914" s="18"/>
      <c r="BL914" s="18"/>
      <c r="BN914" s="18"/>
    </row>
    <row r="915" spans="25:67" ht="11.25" customHeight="1">
      <c r="AB915" s="19"/>
      <c r="AD915" s="19"/>
      <c r="AF915" s="19"/>
      <c r="AH915" s="19"/>
      <c r="AJ915" s="19"/>
      <c r="AL915" s="19"/>
      <c r="AN915" s="19"/>
      <c r="AP915" s="19"/>
      <c r="AR915" s="19"/>
      <c r="AT915" s="19"/>
      <c r="AV915" s="19"/>
      <c r="AX915" s="19"/>
      <c r="AZ915" s="19"/>
      <c r="BB915" s="19"/>
      <c r="BD915" s="19"/>
      <c r="BF915" s="19"/>
      <c r="BH915" s="19"/>
      <c r="BJ915" s="19"/>
      <c r="BL915" s="19"/>
      <c r="BN915" s="19"/>
    </row>
    <row r="916" spans="25:67" ht="11.25" customHeight="1">
      <c r="AB916" s="19"/>
      <c r="AD916" s="19"/>
      <c r="AF916" s="19"/>
      <c r="AH916" s="19"/>
      <c r="AJ916" s="19"/>
      <c r="AL916" s="19"/>
      <c r="AN916" s="19"/>
      <c r="AP916" s="19"/>
      <c r="AR916" s="19"/>
      <c r="AT916" s="19"/>
      <c r="AV916" s="19"/>
      <c r="AX916" s="19"/>
      <c r="AZ916" s="19"/>
      <c r="BB916" s="19"/>
      <c r="BD916" s="19"/>
      <c r="BF916" s="19"/>
      <c r="BH916" s="19"/>
      <c r="BJ916" s="19"/>
      <c r="BL916" s="19"/>
      <c r="BN916" s="19"/>
    </row>
    <row r="917" spans="25:67" ht="11.25" customHeight="1">
      <c r="AA917" s="17"/>
      <c r="AB917" s="19"/>
      <c r="AD917" s="19"/>
      <c r="AF917" s="19"/>
      <c r="AH917" s="19"/>
      <c r="AJ917" s="19"/>
      <c r="AL917" s="19"/>
      <c r="AN917" s="19"/>
      <c r="AP917" s="19"/>
      <c r="AR917" s="19"/>
      <c r="AT917" s="19"/>
      <c r="AV917" s="19"/>
      <c r="AX917" s="19"/>
      <c r="AZ917" s="19"/>
      <c r="BB917" s="19"/>
      <c r="BD917" s="19"/>
      <c r="BF917" s="19"/>
      <c r="BH917" s="19"/>
      <c r="BJ917" s="19"/>
      <c r="BL917" s="19"/>
      <c r="BN917" s="19"/>
    </row>
    <row r="918" spans="25:67" ht="11.25" customHeight="1">
      <c r="AA918" s="18"/>
      <c r="AC918" s="18"/>
      <c r="AE918" s="18"/>
      <c r="AG918" s="18"/>
      <c r="AI918" s="18"/>
      <c r="AK918" s="18"/>
      <c r="AM918" s="18"/>
      <c r="AO918" s="18"/>
      <c r="AQ918" s="18"/>
      <c r="AS918" s="18"/>
      <c r="AU918" s="18"/>
      <c r="AW918" s="18"/>
      <c r="AY918" s="18"/>
      <c r="BA918" s="18"/>
      <c r="BC918" s="18"/>
      <c r="BE918" s="18"/>
      <c r="BG918" s="18"/>
      <c r="BI918" s="18"/>
      <c r="BK918" s="18"/>
      <c r="BM918" s="18"/>
      <c r="BO918" s="18"/>
    </row>
    <row r="919" spans="25:67" ht="11.25" customHeight="1">
      <c r="AA919" s="18"/>
      <c r="AC919" s="18"/>
      <c r="AE919" s="18"/>
      <c r="AG919" s="18"/>
      <c r="AI919" s="18"/>
      <c r="AK919" s="18"/>
      <c r="AM919" s="18"/>
      <c r="AO919" s="18"/>
      <c r="AQ919" s="18"/>
      <c r="AS919" s="18"/>
      <c r="AU919" s="18"/>
      <c r="AW919" s="18"/>
      <c r="AY919" s="18"/>
      <c r="BA919" s="18"/>
      <c r="BC919" s="18"/>
      <c r="BE919" s="18"/>
      <c r="BG919" s="18"/>
      <c r="BI919" s="18"/>
      <c r="BK919" s="18"/>
      <c r="BM919" s="18"/>
      <c r="BO919" s="18"/>
    </row>
    <row r="920" spans="25:67" ht="11.25" customHeight="1">
      <c r="AA920" s="19"/>
      <c r="AC920" s="19"/>
      <c r="AE920" s="19"/>
      <c r="AG920" s="19"/>
      <c r="AI920" s="19"/>
      <c r="AK920" s="19"/>
      <c r="AM920" s="19"/>
      <c r="AO920" s="19"/>
      <c r="AQ920" s="19"/>
      <c r="AS920" s="19"/>
      <c r="AU920" s="19"/>
      <c r="AW920" s="19"/>
      <c r="AY920" s="19"/>
      <c r="BA920" s="19"/>
      <c r="BC920" s="19"/>
      <c r="BE920" s="19"/>
      <c r="BG920" s="19"/>
      <c r="BI920" s="19"/>
      <c r="BK920" s="19"/>
      <c r="BM920" s="19"/>
      <c r="BO920" s="19"/>
    </row>
    <row r="921" spans="25:67" ht="11.25" customHeight="1">
      <c r="AA921" s="19"/>
      <c r="AC921" s="19"/>
      <c r="AE921" s="19"/>
      <c r="AG921" s="19"/>
      <c r="AI921" s="19"/>
      <c r="AK921" s="19"/>
      <c r="AM921" s="19"/>
      <c r="AO921" s="19"/>
      <c r="AQ921" s="19"/>
      <c r="AS921" s="19"/>
      <c r="AU921" s="19"/>
      <c r="AW921" s="19"/>
      <c r="AY921" s="19"/>
      <c r="BA921" s="19"/>
      <c r="BC921" s="19"/>
      <c r="BE921" s="19"/>
      <c r="BG921" s="19"/>
      <c r="BI921" s="19"/>
      <c r="BK921" s="19"/>
      <c r="BM921" s="19"/>
      <c r="BO921" s="19"/>
    </row>
    <row r="922" spans="25:67" ht="11.25" customHeight="1">
      <c r="Z922" s="17"/>
      <c r="AA922" s="19"/>
      <c r="AC922" s="19"/>
      <c r="AE922" s="19"/>
      <c r="AG922" s="19"/>
      <c r="AI922" s="19"/>
      <c r="AK922" s="19"/>
      <c r="AM922" s="19"/>
      <c r="AO922" s="19"/>
      <c r="AQ922" s="19"/>
      <c r="AS922" s="19"/>
      <c r="AU922" s="19"/>
      <c r="AW922" s="19"/>
      <c r="AY922" s="19"/>
      <c r="BA922" s="19"/>
      <c r="BC922" s="19"/>
      <c r="BE922" s="19"/>
      <c r="BG922" s="19"/>
      <c r="BI922" s="19"/>
      <c r="BK922" s="19"/>
      <c r="BM922" s="19"/>
      <c r="BO922" s="19"/>
    </row>
    <row r="923" spans="25:67" ht="11.25" customHeight="1">
      <c r="Z923" s="18"/>
      <c r="AB923" s="18"/>
      <c r="AD923" s="18"/>
      <c r="AF923" s="18"/>
      <c r="AH923" s="18"/>
      <c r="AJ923" s="18"/>
      <c r="AL923" s="18"/>
      <c r="AN923" s="18"/>
      <c r="AP923" s="18"/>
      <c r="AR923" s="18"/>
      <c r="AT923" s="18"/>
      <c r="AV923" s="18"/>
      <c r="AX923" s="18"/>
      <c r="AZ923" s="18"/>
      <c r="BB923" s="18"/>
      <c r="BD923" s="18"/>
      <c r="BF923" s="18"/>
      <c r="BH923" s="18"/>
      <c r="BJ923" s="18"/>
      <c r="BL923" s="18"/>
      <c r="BN923" s="18"/>
    </row>
    <row r="924" spans="25:67" ht="11.25" customHeight="1">
      <c r="Z924" s="18"/>
      <c r="AB924" s="18"/>
      <c r="AD924" s="18"/>
      <c r="AF924" s="18"/>
      <c r="AH924" s="18"/>
      <c r="AJ924" s="18"/>
      <c r="AL924" s="18"/>
      <c r="AN924" s="18"/>
      <c r="AP924" s="18"/>
      <c r="AR924" s="18"/>
      <c r="AT924" s="18"/>
      <c r="AV924" s="18"/>
      <c r="AX924" s="18"/>
      <c r="AZ924" s="18"/>
      <c r="BB924" s="18"/>
      <c r="BD924" s="18"/>
      <c r="BF924" s="18"/>
      <c r="BH924" s="18"/>
      <c r="BJ924" s="18"/>
      <c r="BL924" s="18"/>
      <c r="BN924" s="18"/>
    </row>
    <row r="925" spans="25:67" ht="11.25" customHeight="1">
      <c r="Z925" s="19"/>
      <c r="AB925" s="19"/>
      <c r="AD925" s="19"/>
      <c r="AF925" s="19"/>
      <c r="AH925" s="19"/>
      <c r="AJ925" s="19"/>
      <c r="AL925" s="19"/>
      <c r="AN925" s="19"/>
      <c r="AP925" s="19"/>
      <c r="AR925" s="19"/>
      <c r="AT925" s="19"/>
      <c r="AV925" s="19"/>
      <c r="AX925" s="19"/>
      <c r="AZ925" s="19"/>
      <c r="BB925" s="19"/>
      <c r="BD925" s="19"/>
      <c r="BF925" s="19"/>
      <c r="BH925" s="19"/>
      <c r="BJ925" s="19"/>
      <c r="BL925" s="19"/>
      <c r="BN925" s="19"/>
    </row>
    <row r="926" spans="25:67" ht="11.25" customHeight="1">
      <c r="Z926" s="19"/>
      <c r="AB926" s="19"/>
      <c r="AD926" s="19"/>
      <c r="AF926" s="19"/>
      <c r="AH926" s="19"/>
      <c r="AJ926" s="19"/>
      <c r="AL926" s="19"/>
      <c r="AN926" s="19"/>
      <c r="AP926" s="19"/>
      <c r="AR926" s="19"/>
      <c r="AT926" s="19"/>
      <c r="AV926" s="19"/>
      <c r="AX926" s="19"/>
      <c r="AZ926" s="19"/>
      <c r="BB926" s="19"/>
      <c r="BD926" s="19"/>
      <c r="BF926" s="19"/>
      <c r="BH926" s="19"/>
      <c r="BJ926" s="19"/>
      <c r="BL926" s="19"/>
      <c r="BN926" s="19"/>
    </row>
    <row r="927" spans="25:67" ht="11.25" customHeight="1">
      <c r="Y927" s="17"/>
      <c r="Z927" s="19"/>
      <c r="AB927" s="19"/>
      <c r="AD927" s="19"/>
      <c r="AF927" s="19"/>
      <c r="AH927" s="19"/>
      <c r="AJ927" s="19"/>
      <c r="AL927" s="19"/>
      <c r="AN927" s="19"/>
      <c r="AP927" s="19"/>
      <c r="AR927" s="19"/>
      <c r="AT927" s="19"/>
      <c r="AV927" s="19"/>
      <c r="AX927" s="19"/>
      <c r="AZ927" s="19"/>
      <c r="BB927" s="19"/>
      <c r="BD927" s="19"/>
      <c r="BF927" s="19"/>
      <c r="BH927" s="19"/>
      <c r="BJ927" s="19"/>
      <c r="BL927" s="19"/>
      <c r="BN927" s="19"/>
    </row>
    <row r="928" spans="25:67" ht="11.25" customHeight="1">
      <c r="Y928" s="18"/>
      <c r="AA928" s="18"/>
      <c r="AC928" s="18"/>
      <c r="AE928" s="18"/>
      <c r="AG928" s="18"/>
      <c r="AI928" s="18"/>
      <c r="AK928" s="18"/>
      <c r="AM928" s="18"/>
      <c r="AO928" s="18"/>
      <c r="AQ928" s="18"/>
      <c r="AS928" s="18"/>
      <c r="AU928" s="18"/>
      <c r="AW928" s="18"/>
      <c r="AY928" s="18"/>
      <c r="BA928" s="18"/>
      <c r="BC928" s="18"/>
      <c r="BE928" s="18"/>
      <c r="BG928" s="18"/>
      <c r="BI928" s="18"/>
      <c r="BK928" s="18"/>
      <c r="BM928" s="18"/>
      <c r="BO928" s="18"/>
    </row>
    <row r="929" spans="22:67" ht="11.25" customHeight="1">
      <c r="Y929" s="18"/>
      <c r="AA929" s="18"/>
      <c r="AC929" s="18"/>
      <c r="AE929" s="18"/>
      <c r="AG929" s="18"/>
      <c r="AI929" s="18"/>
      <c r="AK929" s="18"/>
      <c r="AM929" s="18"/>
      <c r="AO929" s="18"/>
      <c r="AQ929" s="18"/>
      <c r="AS929" s="18"/>
      <c r="AU929" s="18"/>
      <c r="AW929" s="18"/>
      <c r="AY929" s="18"/>
      <c r="BA929" s="18"/>
      <c r="BC929" s="18"/>
      <c r="BE929" s="18"/>
      <c r="BG929" s="18"/>
      <c r="BI929" s="18"/>
      <c r="BK929" s="18"/>
      <c r="BM929" s="18"/>
      <c r="BO929" s="18"/>
    </row>
    <row r="930" spans="22:67" ht="11.25" customHeight="1">
      <c r="Y930" s="19"/>
      <c r="AA930" s="19"/>
      <c r="AC930" s="19"/>
      <c r="AE930" s="19"/>
      <c r="AG930" s="19"/>
      <c r="AI930" s="19"/>
      <c r="AK930" s="19"/>
      <c r="AM930" s="19"/>
      <c r="AO930" s="19"/>
      <c r="AQ930" s="19"/>
      <c r="AS930" s="19"/>
      <c r="AU930" s="19"/>
      <c r="AW930" s="19"/>
      <c r="AY930" s="19"/>
      <c r="BA930" s="19"/>
      <c r="BC930" s="19"/>
      <c r="BE930" s="19"/>
      <c r="BG930" s="19"/>
      <c r="BI930" s="19"/>
      <c r="BK930" s="19"/>
      <c r="BM930" s="19"/>
      <c r="BO930" s="19"/>
    </row>
    <row r="931" spans="22:67" ht="11.25" customHeight="1">
      <c r="Y931" s="19"/>
      <c r="AA931" s="19"/>
      <c r="AC931" s="19"/>
      <c r="AE931" s="19"/>
      <c r="AG931" s="19"/>
      <c r="AI931" s="19"/>
      <c r="AK931" s="19"/>
      <c r="AM931" s="19"/>
      <c r="AO931" s="19"/>
      <c r="AQ931" s="19"/>
      <c r="AS931" s="19"/>
      <c r="AU931" s="19"/>
      <c r="AW931" s="19"/>
      <c r="AY931" s="19"/>
      <c r="BA931" s="19"/>
      <c r="BC931" s="19"/>
      <c r="BE931" s="19"/>
      <c r="BG931" s="19"/>
      <c r="BI931" s="19"/>
      <c r="BK931" s="19"/>
      <c r="BM931" s="19"/>
      <c r="BO931" s="19"/>
    </row>
    <row r="932" spans="22:67" ht="11.25" customHeight="1">
      <c r="X932" s="17"/>
      <c r="Y932" s="19"/>
      <c r="AA932" s="19"/>
      <c r="AC932" s="19"/>
      <c r="AE932" s="19"/>
      <c r="AG932" s="19"/>
      <c r="AI932" s="19"/>
      <c r="AK932" s="19"/>
      <c r="AM932" s="19"/>
      <c r="AO932" s="19"/>
      <c r="AQ932" s="19"/>
      <c r="AS932" s="19"/>
      <c r="AU932" s="19"/>
      <c r="AW932" s="19"/>
      <c r="AY932" s="19"/>
      <c r="BA932" s="19"/>
      <c r="BC932" s="19"/>
      <c r="BE932" s="19"/>
      <c r="BG932" s="19"/>
      <c r="BI932" s="19"/>
      <c r="BK932" s="19"/>
      <c r="BM932" s="19"/>
      <c r="BO932" s="19"/>
    </row>
    <row r="933" spans="22:67" ht="11.25" customHeight="1">
      <c r="X933" s="18"/>
      <c r="Z933" s="18"/>
      <c r="AB933" s="18"/>
      <c r="AD933" s="18"/>
      <c r="AF933" s="18"/>
      <c r="AH933" s="18"/>
      <c r="AJ933" s="18"/>
      <c r="AL933" s="18"/>
      <c r="AN933" s="18"/>
      <c r="AP933" s="18"/>
      <c r="AR933" s="18"/>
      <c r="AT933" s="18"/>
      <c r="AV933" s="18"/>
      <c r="AX933" s="18"/>
      <c r="AZ933" s="18"/>
      <c r="BB933" s="18"/>
      <c r="BD933" s="18"/>
      <c r="BF933" s="18"/>
      <c r="BH933" s="18"/>
      <c r="BJ933" s="18"/>
      <c r="BL933" s="18"/>
      <c r="BN933" s="18"/>
    </row>
    <row r="934" spans="22:67" ht="11.25" customHeight="1">
      <c r="X934" s="18"/>
      <c r="Z934" s="18"/>
      <c r="AB934" s="18"/>
      <c r="AD934" s="18"/>
      <c r="AF934" s="18"/>
      <c r="AH934" s="18"/>
      <c r="AJ934" s="18"/>
      <c r="AL934" s="18"/>
      <c r="AN934" s="18"/>
      <c r="AP934" s="18"/>
      <c r="AR934" s="18"/>
      <c r="AT934" s="18"/>
      <c r="AV934" s="18"/>
      <c r="AX934" s="18"/>
      <c r="AZ934" s="18"/>
      <c r="BB934" s="18"/>
      <c r="BD934" s="18"/>
      <c r="BF934" s="18"/>
      <c r="BH934" s="18"/>
      <c r="BJ934" s="18"/>
      <c r="BL934" s="18"/>
      <c r="BN934" s="18"/>
    </row>
    <row r="935" spans="22:67" ht="11.25" customHeight="1">
      <c r="X935" s="19"/>
      <c r="Z935" s="19"/>
      <c r="AB935" s="19"/>
      <c r="AD935" s="19"/>
      <c r="AF935" s="19"/>
      <c r="AH935" s="19"/>
      <c r="AJ935" s="19"/>
      <c r="AL935" s="19"/>
      <c r="AN935" s="19"/>
      <c r="AP935" s="19"/>
      <c r="AR935" s="19"/>
      <c r="AT935" s="19"/>
      <c r="AV935" s="19"/>
      <c r="AX935" s="19"/>
      <c r="AZ935" s="19"/>
      <c r="BB935" s="19"/>
      <c r="BD935" s="19"/>
      <c r="BF935" s="19"/>
      <c r="BH935" s="19"/>
      <c r="BJ935" s="19"/>
      <c r="BL935" s="19"/>
      <c r="BN935" s="19"/>
    </row>
    <row r="936" spans="22:67" ht="11.25" customHeight="1">
      <c r="X936" s="19"/>
      <c r="Z936" s="19"/>
      <c r="AB936" s="19"/>
      <c r="AD936" s="19"/>
      <c r="AF936" s="19"/>
      <c r="AH936" s="19"/>
      <c r="AJ936" s="19"/>
      <c r="AL936" s="19"/>
      <c r="AN936" s="19"/>
      <c r="AP936" s="19"/>
      <c r="AR936" s="19"/>
      <c r="AT936" s="19"/>
      <c r="AV936" s="19"/>
      <c r="AX936" s="19"/>
      <c r="AZ936" s="19"/>
      <c r="BB936" s="19"/>
      <c r="BD936" s="19"/>
      <c r="BF936" s="19"/>
      <c r="BH936" s="19"/>
      <c r="BJ936" s="19"/>
      <c r="BL936" s="19"/>
      <c r="BN936" s="19"/>
    </row>
    <row r="937" spans="22:67" ht="11.25" customHeight="1">
      <c r="W937" s="17"/>
      <c r="X937" s="19"/>
      <c r="Z937" s="19"/>
      <c r="AB937" s="19"/>
      <c r="AD937" s="19"/>
      <c r="AF937" s="19"/>
      <c r="AH937" s="19"/>
      <c r="AJ937" s="19"/>
      <c r="AL937" s="19"/>
      <c r="AN937" s="19"/>
      <c r="AP937" s="19"/>
      <c r="AR937" s="19"/>
      <c r="AT937" s="19"/>
      <c r="AV937" s="19"/>
      <c r="AX937" s="19"/>
      <c r="AZ937" s="19"/>
      <c r="BB937" s="19"/>
      <c r="BD937" s="19"/>
      <c r="BF937" s="19"/>
      <c r="BH937" s="19"/>
      <c r="BJ937" s="19"/>
      <c r="BL937" s="19"/>
      <c r="BN937" s="19"/>
    </row>
    <row r="938" spans="22:67" ht="11.25" customHeight="1">
      <c r="W938" s="18"/>
      <c r="Y938" s="18"/>
      <c r="AA938" s="18"/>
      <c r="AC938" s="18"/>
      <c r="AE938" s="18"/>
      <c r="AG938" s="18"/>
      <c r="AI938" s="18"/>
      <c r="AK938" s="18"/>
      <c r="AM938" s="18"/>
      <c r="AO938" s="18"/>
      <c r="AQ938" s="18"/>
      <c r="AS938" s="18"/>
      <c r="AU938" s="18"/>
      <c r="AW938" s="18"/>
      <c r="AY938" s="18"/>
      <c r="BA938" s="18"/>
      <c r="BC938" s="18"/>
      <c r="BE938" s="18"/>
      <c r="BG938" s="18"/>
      <c r="BI938" s="18"/>
      <c r="BK938" s="18"/>
      <c r="BM938" s="18"/>
      <c r="BO938" s="18"/>
    </row>
    <row r="939" spans="22:67" ht="11.25" customHeight="1">
      <c r="W939" s="18"/>
      <c r="Y939" s="18"/>
      <c r="AA939" s="18"/>
      <c r="AC939" s="18"/>
      <c r="AE939" s="18"/>
      <c r="AG939" s="18"/>
      <c r="AI939" s="18"/>
      <c r="AK939" s="18"/>
      <c r="AM939" s="18"/>
      <c r="AO939" s="18"/>
      <c r="AQ939" s="18"/>
      <c r="AS939" s="18"/>
      <c r="AU939" s="18"/>
      <c r="AW939" s="18"/>
      <c r="AY939" s="18"/>
      <c r="BA939" s="18"/>
      <c r="BC939" s="18"/>
      <c r="BE939" s="18"/>
      <c r="BG939" s="18"/>
      <c r="BI939" s="18"/>
      <c r="BK939" s="18"/>
      <c r="BM939" s="18"/>
      <c r="BO939" s="18"/>
    </row>
    <row r="940" spans="22:67" ht="11.25" customHeight="1">
      <c r="W940" s="19"/>
      <c r="Y940" s="19"/>
      <c r="AA940" s="19"/>
      <c r="AC940" s="19"/>
      <c r="AE940" s="19"/>
      <c r="AG940" s="19"/>
      <c r="AI940" s="19"/>
      <c r="AK940" s="19"/>
      <c r="AM940" s="19"/>
      <c r="AO940" s="19"/>
      <c r="AQ940" s="19"/>
      <c r="AS940" s="19"/>
      <c r="AU940" s="19"/>
      <c r="AW940" s="19"/>
      <c r="AY940" s="19"/>
      <c r="BA940" s="19"/>
      <c r="BC940" s="19"/>
      <c r="BE940" s="19"/>
      <c r="BG940" s="19"/>
      <c r="BI940" s="19"/>
      <c r="BK940" s="19"/>
      <c r="BM940" s="19"/>
      <c r="BO940" s="19"/>
    </row>
    <row r="941" spans="22:67" ht="11.25" customHeight="1">
      <c r="W941" s="19"/>
      <c r="Y941" s="19"/>
      <c r="AA941" s="19"/>
      <c r="AC941" s="19"/>
      <c r="AE941" s="19"/>
      <c r="AG941" s="19"/>
      <c r="AI941" s="19"/>
      <c r="AK941" s="19"/>
      <c r="AM941" s="19"/>
      <c r="AO941" s="19"/>
      <c r="AQ941" s="19"/>
      <c r="AS941" s="19"/>
      <c r="AU941" s="19"/>
      <c r="AW941" s="19"/>
      <c r="AY941" s="19"/>
      <c r="BA941" s="19"/>
      <c r="BC941" s="19"/>
      <c r="BE941" s="19"/>
      <c r="BG941" s="19"/>
      <c r="BI941" s="19"/>
      <c r="BK941" s="19"/>
      <c r="BM941" s="19"/>
      <c r="BO941" s="19"/>
    </row>
    <row r="942" spans="22:67" ht="11.25" customHeight="1">
      <c r="V942" s="17"/>
      <c r="W942" s="19"/>
      <c r="Y942" s="19"/>
      <c r="AA942" s="19"/>
      <c r="AC942" s="19"/>
      <c r="AE942" s="19"/>
      <c r="AG942" s="19"/>
      <c r="AI942" s="19"/>
      <c r="AK942" s="19"/>
      <c r="AM942" s="19"/>
      <c r="AO942" s="19"/>
      <c r="AQ942" s="19"/>
      <c r="AS942" s="19"/>
      <c r="AU942" s="19"/>
      <c r="AW942" s="19"/>
      <c r="AY942" s="19"/>
      <c r="BA942" s="19"/>
      <c r="BC942" s="19"/>
      <c r="BE942" s="19"/>
      <c r="BG942" s="19"/>
      <c r="BI942" s="19"/>
      <c r="BK942" s="19"/>
      <c r="BM942" s="19"/>
      <c r="BO942" s="19"/>
    </row>
    <row r="943" spans="22:67" ht="11.25" customHeight="1">
      <c r="V943" s="18"/>
      <c r="X943" s="18"/>
      <c r="Z943" s="18"/>
      <c r="AB943" s="18"/>
      <c r="AD943" s="18"/>
      <c r="AF943" s="18"/>
      <c r="AH943" s="18"/>
      <c r="AJ943" s="18"/>
      <c r="AL943" s="18"/>
      <c r="AN943" s="18"/>
      <c r="AP943" s="18"/>
      <c r="AR943" s="18"/>
      <c r="AT943" s="18"/>
      <c r="AV943" s="18"/>
      <c r="AX943" s="18"/>
      <c r="AZ943" s="18"/>
      <c r="BB943" s="18"/>
      <c r="BD943" s="18"/>
      <c r="BF943" s="18"/>
      <c r="BH943" s="18"/>
      <c r="BJ943" s="18"/>
      <c r="BL943" s="18"/>
      <c r="BN943" s="18"/>
    </row>
    <row r="944" spans="22:67" ht="11.25" customHeight="1">
      <c r="V944" s="18"/>
      <c r="X944" s="18"/>
      <c r="Z944" s="18"/>
      <c r="AB944" s="18"/>
      <c r="AD944" s="18"/>
      <c r="AF944" s="18"/>
      <c r="AH944" s="18"/>
      <c r="AJ944" s="18"/>
      <c r="AL944" s="18"/>
      <c r="AN944" s="18"/>
      <c r="AP944" s="18"/>
      <c r="AR944" s="18"/>
      <c r="AT944" s="18"/>
      <c r="AV944" s="18"/>
      <c r="AX944" s="18"/>
      <c r="AZ944" s="18"/>
      <c r="BB944" s="18"/>
      <c r="BD944" s="18"/>
      <c r="BF944" s="18"/>
      <c r="BH944" s="18"/>
      <c r="BJ944" s="18"/>
      <c r="BL944" s="18"/>
      <c r="BN944" s="18"/>
    </row>
    <row r="945" spans="19:67" ht="11.25" customHeight="1">
      <c r="V945" s="19"/>
      <c r="X945" s="19"/>
      <c r="Z945" s="19"/>
      <c r="AB945" s="19"/>
      <c r="AD945" s="19"/>
      <c r="AF945" s="19"/>
      <c r="AH945" s="19"/>
      <c r="AJ945" s="19"/>
      <c r="AL945" s="19"/>
      <c r="AN945" s="19"/>
      <c r="AP945" s="19"/>
      <c r="AR945" s="19"/>
      <c r="AT945" s="19"/>
      <c r="AV945" s="19"/>
      <c r="AX945" s="19"/>
      <c r="AZ945" s="19"/>
      <c r="BB945" s="19"/>
      <c r="BD945" s="19"/>
      <c r="BF945" s="19"/>
      <c r="BH945" s="19"/>
      <c r="BJ945" s="19"/>
      <c r="BL945" s="19"/>
      <c r="BN945" s="19"/>
    </row>
    <row r="946" spans="19:67" ht="11.25" customHeight="1">
      <c r="V946" s="19"/>
      <c r="X946" s="19"/>
      <c r="Z946" s="19"/>
      <c r="AB946" s="19"/>
      <c r="AD946" s="19"/>
      <c r="AF946" s="19"/>
      <c r="AH946" s="19"/>
      <c r="AJ946" s="19"/>
      <c r="AL946" s="19"/>
      <c r="AN946" s="19"/>
      <c r="AP946" s="19"/>
      <c r="AR946" s="19"/>
      <c r="AT946" s="19"/>
      <c r="AV946" s="19"/>
      <c r="AX946" s="19"/>
      <c r="AZ946" s="19"/>
      <c r="BB946" s="19"/>
      <c r="BD946" s="19"/>
      <c r="BF946" s="19"/>
      <c r="BH946" s="19"/>
      <c r="BJ946" s="19"/>
      <c r="BL946" s="19"/>
      <c r="BN946" s="19"/>
    </row>
    <row r="947" spans="19:67" ht="11.25" customHeight="1">
      <c r="U947" s="17"/>
      <c r="V947" s="19"/>
      <c r="X947" s="19"/>
      <c r="Z947" s="19"/>
      <c r="AB947" s="19"/>
      <c r="AD947" s="19"/>
      <c r="AF947" s="19"/>
      <c r="AH947" s="19"/>
      <c r="AJ947" s="19"/>
      <c r="AL947" s="19"/>
      <c r="AN947" s="19"/>
      <c r="AP947" s="19"/>
      <c r="AR947" s="19"/>
      <c r="AT947" s="19"/>
      <c r="AV947" s="19"/>
      <c r="AX947" s="19"/>
      <c r="AZ947" s="19"/>
      <c r="BB947" s="19"/>
      <c r="BD947" s="19"/>
      <c r="BF947" s="19"/>
      <c r="BH947" s="19"/>
      <c r="BJ947" s="19"/>
      <c r="BL947" s="19"/>
      <c r="BN947" s="19"/>
    </row>
    <row r="948" spans="19:67" ht="11.25" customHeight="1">
      <c r="U948" s="18"/>
      <c r="W948" s="18"/>
      <c r="Y948" s="18"/>
      <c r="AA948" s="18"/>
      <c r="AC948" s="18"/>
      <c r="AE948" s="18"/>
      <c r="AG948" s="18"/>
      <c r="AI948" s="18"/>
      <c r="AK948" s="18"/>
      <c r="AM948" s="18"/>
      <c r="AO948" s="18"/>
      <c r="AQ948" s="18"/>
      <c r="AS948" s="18"/>
      <c r="AU948" s="18"/>
      <c r="AW948" s="18"/>
      <c r="AY948" s="18"/>
      <c r="BA948" s="18"/>
      <c r="BC948" s="18"/>
      <c r="BE948" s="18"/>
      <c r="BG948" s="18"/>
      <c r="BI948" s="18"/>
      <c r="BK948" s="18"/>
      <c r="BM948" s="18"/>
      <c r="BO948" s="18"/>
    </row>
    <row r="949" spans="19:67" ht="11.25" customHeight="1">
      <c r="U949" s="18"/>
      <c r="W949" s="18"/>
      <c r="Y949" s="18"/>
      <c r="AA949" s="18"/>
      <c r="AC949" s="18"/>
      <c r="AE949" s="18"/>
      <c r="AG949" s="18"/>
      <c r="AI949" s="18"/>
      <c r="AK949" s="18"/>
      <c r="AM949" s="18"/>
      <c r="AO949" s="18"/>
      <c r="AQ949" s="18"/>
      <c r="AS949" s="18"/>
      <c r="AU949" s="18"/>
      <c r="AW949" s="18"/>
      <c r="AY949" s="18"/>
      <c r="BA949" s="18"/>
      <c r="BC949" s="18"/>
      <c r="BE949" s="18"/>
      <c r="BG949" s="18"/>
      <c r="BI949" s="18"/>
      <c r="BK949" s="18"/>
      <c r="BM949" s="18"/>
      <c r="BO949" s="18"/>
    </row>
    <row r="950" spans="19:67" ht="11.25" customHeight="1">
      <c r="U950" s="19"/>
      <c r="W950" s="19"/>
      <c r="Y950" s="19"/>
      <c r="AA950" s="19"/>
      <c r="AC950" s="19"/>
      <c r="AE950" s="19"/>
      <c r="AG950" s="19"/>
      <c r="AI950" s="19"/>
      <c r="AK950" s="19"/>
      <c r="AM950" s="19"/>
      <c r="AO950" s="19"/>
      <c r="AQ950" s="19"/>
      <c r="AS950" s="19"/>
      <c r="AU950" s="19"/>
      <c r="AW950" s="19"/>
      <c r="AY950" s="19"/>
      <c r="BA950" s="19"/>
      <c r="BC950" s="19"/>
      <c r="BE950" s="19"/>
      <c r="BG950" s="19"/>
      <c r="BI950" s="19"/>
      <c r="BK950" s="19"/>
      <c r="BM950" s="19"/>
      <c r="BO950" s="19"/>
    </row>
    <row r="951" spans="19:67" ht="11.25" customHeight="1">
      <c r="U951" s="19"/>
      <c r="W951" s="19"/>
      <c r="Y951" s="19"/>
      <c r="AA951" s="19"/>
      <c r="AC951" s="19"/>
      <c r="AE951" s="19"/>
      <c r="AG951" s="19"/>
      <c r="AI951" s="19"/>
      <c r="AK951" s="19"/>
      <c r="AM951" s="19"/>
      <c r="AO951" s="19"/>
      <c r="AQ951" s="19"/>
      <c r="AS951" s="19"/>
      <c r="AU951" s="19"/>
      <c r="AW951" s="19"/>
      <c r="AY951" s="19"/>
      <c r="BA951" s="19"/>
      <c r="BC951" s="19"/>
      <c r="BE951" s="19"/>
      <c r="BG951" s="19"/>
      <c r="BI951" s="19"/>
      <c r="BK951" s="19"/>
      <c r="BM951" s="19"/>
      <c r="BO951" s="19"/>
    </row>
    <row r="952" spans="19:67" ht="11.25" customHeight="1">
      <c r="T952" s="17"/>
      <c r="U952" s="19"/>
      <c r="W952" s="19"/>
      <c r="Y952" s="19"/>
      <c r="AA952" s="19"/>
      <c r="AC952" s="19"/>
      <c r="AE952" s="19"/>
      <c r="AG952" s="19"/>
      <c r="AI952" s="19"/>
      <c r="AK952" s="19"/>
      <c r="AM952" s="19"/>
      <c r="AO952" s="19"/>
      <c r="AQ952" s="19"/>
      <c r="AS952" s="19"/>
      <c r="AU952" s="19"/>
      <c r="AW952" s="19"/>
      <c r="AY952" s="19"/>
      <c r="BA952" s="19"/>
      <c r="BC952" s="19"/>
      <c r="BE952" s="19"/>
      <c r="BG952" s="19"/>
      <c r="BI952" s="19"/>
      <c r="BK952" s="19"/>
      <c r="BM952" s="19"/>
      <c r="BO952" s="19"/>
    </row>
    <row r="953" spans="19:67" ht="11.25" customHeight="1">
      <c r="T953" s="18"/>
      <c r="V953" s="18"/>
      <c r="X953" s="18"/>
      <c r="Z953" s="18"/>
      <c r="AB953" s="18"/>
      <c r="AD953" s="18"/>
      <c r="AF953" s="18"/>
      <c r="AH953" s="18"/>
      <c r="AJ953" s="18"/>
      <c r="AL953" s="18"/>
      <c r="AN953" s="18"/>
      <c r="AP953" s="18"/>
      <c r="AR953" s="18"/>
      <c r="AT953" s="18"/>
      <c r="AV953" s="18"/>
      <c r="AX953" s="18"/>
      <c r="AZ953" s="18"/>
      <c r="BB953" s="18"/>
      <c r="BD953" s="18"/>
      <c r="BF953" s="18"/>
      <c r="BH953" s="18"/>
      <c r="BJ953" s="18"/>
      <c r="BL953" s="18"/>
      <c r="BN953" s="18"/>
    </row>
    <row r="954" spans="19:67" ht="11.25" customHeight="1">
      <c r="T954" s="18"/>
      <c r="V954" s="18"/>
      <c r="X954" s="18"/>
      <c r="Z954" s="18"/>
      <c r="AB954" s="18"/>
      <c r="AD954" s="18"/>
      <c r="AF954" s="18"/>
      <c r="AH954" s="18"/>
      <c r="AJ954" s="18"/>
      <c r="AL954" s="18"/>
      <c r="AN954" s="18"/>
      <c r="AP954" s="18"/>
      <c r="AR954" s="18"/>
      <c r="AT954" s="18"/>
      <c r="AV954" s="18"/>
      <c r="AX954" s="18"/>
      <c r="AZ954" s="18"/>
      <c r="BB954" s="18"/>
      <c r="BD954" s="18"/>
      <c r="BF954" s="18"/>
      <c r="BH954" s="18"/>
      <c r="BJ954" s="18"/>
      <c r="BL954" s="18"/>
      <c r="BN954" s="18"/>
    </row>
    <row r="955" spans="19:67" ht="11.25" customHeight="1">
      <c r="T955" s="19"/>
      <c r="V955" s="19"/>
      <c r="X955" s="19"/>
      <c r="Z955" s="19"/>
      <c r="AB955" s="19"/>
      <c r="AD955" s="19"/>
      <c r="AF955" s="19"/>
      <c r="AH955" s="19"/>
      <c r="AJ955" s="19"/>
      <c r="AL955" s="19"/>
      <c r="AN955" s="19"/>
      <c r="AP955" s="19"/>
      <c r="AR955" s="19"/>
      <c r="AT955" s="19"/>
      <c r="AV955" s="19"/>
      <c r="AX955" s="19"/>
      <c r="AZ955" s="19"/>
      <c r="BB955" s="19"/>
      <c r="BD955" s="19"/>
      <c r="BF955" s="19"/>
      <c r="BH955" s="19"/>
      <c r="BJ955" s="19"/>
      <c r="BL955" s="19"/>
      <c r="BN955" s="19"/>
    </row>
    <row r="956" spans="19:67" ht="11.25" customHeight="1">
      <c r="T956" s="19"/>
      <c r="V956" s="19"/>
      <c r="X956" s="19"/>
      <c r="Z956" s="19"/>
      <c r="AB956" s="19"/>
      <c r="AD956" s="19"/>
      <c r="AF956" s="19"/>
      <c r="AH956" s="19"/>
      <c r="AJ956" s="19"/>
      <c r="AL956" s="19"/>
      <c r="AN956" s="19"/>
      <c r="AP956" s="19"/>
      <c r="AR956" s="19"/>
      <c r="AT956" s="19"/>
      <c r="AV956" s="19"/>
      <c r="AX956" s="19"/>
      <c r="AZ956" s="19"/>
      <c r="BB956" s="19"/>
      <c r="BD956" s="19"/>
      <c r="BF956" s="19"/>
      <c r="BH956" s="19"/>
      <c r="BJ956" s="19"/>
      <c r="BL956" s="19"/>
      <c r="BN956" s="19"/>
    </row>
    <row r="957" spans="19:67" ht="11.25" customHeight="1">
      <c r="S957" s="17"/>
      <c r="T957" s="19"/>
      <c r="V957" s="19"/>
      <c r="X957" s="19"/>
      <c r="Z957" s="19"/>
      <c r="AB957" s="19"/>
      <c r="AD957" s="19"/>
      <c r="AF957" s="19"/>
      <c r="AH957" s="19"/>
      <c r="AJ957" s="19"/>
      <c r="AL957" s="19"/>
      <c r="AN957" s="19"/>
      <c r="AP957" s="19"/>
      <c r="AR957" s="19"/>
      <c r="AT957" s="19"/>
      <c r="AV957" s="19"/>
      <c r="AX957" s="19"/>
      <c r="AZ957" s="19"/>
      <c r="BB957" s="19"/>
      <c r="BD957" s="19"/>
      <c r="BF957" s="19"/>
      <c r="BH957" s="19"/>
      <c r="BJ957" s="19"/>
      <c r="BL957" s="19"/>
      <c r="BN957" s="19"/>
    </row>
    <row r="958" spans="19:67" ht="11.25" customHeight="1">
      <c r="S958" s="18"/>
      <c r="U958" s="18"/>
      <c r="W958" s="18"/>
      <c r="Y958" s="18"/>
      <c r="AA958" s="18"/>
      <c r="AC958" s="18"/>
      <c r="AE958" s="18"/>
      <c r="AG958" s="18"/>
      <c r="AI958" s="18"/>
      <c r="AK958" s="18"/>
      <c r="AM958" s="18"/>
      <c r="AO958" s="18"/>
      <c r="AQ958" s="18"/>
      <c r="AS958" s="18"/>
      <c r="AU958" s="18"/>
      <c r="AW958" s="18"/>
      <c r="AY958" s="18"/>
      <c r="BA958" s="18"/>
      <c r="BC958" s="18"/>
      <c r="BE958" s="18"/>
      <c r="BG958" s="18"/>
      <c r="BI958" s="18"/>
      <c r="BK958" s="18"/>
      <c r="BM958" s="18"/>
      <c r="BO958" s="18"/>
    </row>
    <row r="959" spans="19:67" ht="11.25" customHeight="1">
      <c r="S959" s="18"/>
      <c r="U959" s="18"/>
      <c r="W959" s="18"/>
      <c r="Y959" s="18"/>
      <c r="AA959" s="18"/>
      <c r="AC959" s="18"/>
      <c r="AE959" s="18"/>
      <c r="AG959" s="18"/>
      <c r="AI959" s="18"/>
      <c r="AK959" s="18"/>
      <c r="AM959" s="18"/>
      <c r="AO959" s="18"/>
      <c r="AQ959" s="18"/>
      <c r="AS959" s="18"/>
      <c r="AU959" s="18"/>
      <c r="AW959" s="18"/>
      <c r="AY959" s="18"/>
      <c r="BA959" s="18"/>
      <c r="BC959" s="18"/>
      <c r="BE959" s="18"/>
      <c r="BG959" s="18"/>
      <c r="BI959" s="18"/>
      <c r="BK959" s="18"/>
      <c r="BM959" s="18"/>
      <c r="BO959" s="18"/>
    </row>
    <row r="960" spans="19:67" ht="11.25" customHeight="1">
      <c r="S960" s="19"/>
      <c r="U960" s="19"/>
      <c r="W960" s="19"/>
      <c r="Y960" s="19"/>
      <c r="AA960" s="19"/>
      <c r="AC960" s="19"/>
      <c r="AE960" s="19"/>
      <c r="AG960" s="19"/>
      <c r="AI960" s="19"/>
      <c r="AK960" s="19"/>
      <c r="AM960" s="19"/>
      <c r="AO960" s="19"/>
      <c r="AQ960" s="19"/>
      <c r="AS960" s="19"/>
      <c r="AU960" s="19"/>
      <c r="AW960" s="19"/>
      <c r="AY960" s="19"/>
      <c r="BA960" s="19"/>
      <c r="BC960" s="19"/>
      <c r="BE960" s="19"/>
      <c r="BG960" s="19"/>
      <c r="BI960" s="19"/>
      <c r="BK960" s="19"/>
      <c r="BM960" s="19"/>
      <c r="BO960" s="19"/>
    </row>
    <row r="961" spans="16:67" ht="11.25" customHeight="1">
      <c r="S961" s="19"/>
      <c r="U961" s="19"/>
      <c r="W961" s="19"/>
      <c r="Y961" s="19"/>
      <c r="AA961" s="19"/>
      <c r="AC961" s="19"/>
      <c r="AE961" s="19"/>
      <c r="AG961" s="19"/>
      <c r="AI961" s="19"/>
      <c r="AK961" s="19"/>
      <c r="AM961" s="19"/>
      <c r="AO961" s="19"/>
      <c r="AQ961" s="19"/>
      <c r="AS961" s="19"/>
      <c r="AU961" s="19"/>
      <c r="AW961" s="19"/>
      <c r="AY961" s="19"/>
      <c r="BA961" s="19"/>
      <c r="BC961" s="19"/>
      <c r="BE961" s="19"/>
      <c r="BG961" s="19"/>
      <c r="BI961" s="19"/>
      <c r="BK961" s="19"/>
      <c r="BM961" s="19"/>
      <c r="BO961" s="19"/>
    </row>
    <row r="962" spans="16:67" ht="11.25" customHeight="1">
      <c r="R962" s="17"/>
      <c r="S962" s="19"/>
      <c r="U962" s="19"/>
      <c r="W962" s="19"/>
      <c r="Y962" s="19"/>
      <c r="AA962" s="19"/>
      <c r="AC962" s="19"/>
      <c r="AE962" s="19"/>
      <c r="AG962" s="19"/>
      <c r="AI962" s="19"/>
      <c r="AK962" s="19"/>
      <c r="AM962" s="19"/>
      <c r="AO962" s="19"/>
      <c r="AQ962" s="19"/>
      <c r="AS962" s="19"/>
      <c r="AU962" s="19"/>
      <c r="AW962" s="19"/>
      <c r="AY962" s="19"/>
      <c r="BA962" s="19"/>
      <c r="BC962" s="19"/>
      <c r="BE962" s="19"/>
      <c r="BG962" s="19"/>
      <c r="BI962" s="19"/>
      <c r="BK962" s="19"/>
      <c r="BM962" s="19"/>
      <c r="BO962" s="19"/>
    </row>
    <row r="963" spans="16:67" ht="11.25" customHeight="1">
      <c r="R963" s="18"/>
      <c r="T963" s="18"/>
      <c r="V963" s="18"/>
      <c r="X963" s="18"/>
      <c r="Z963" s="18"/>
      <c r="AB963" s="18"/>
      <c r="AD963" s="18"/>
      <c r="AF963" s="18"/>
      <c r="AH963" s="18"/>
      <c r="AJ963" s="18"/>
      <c r="AL963" s="18"/>
      <c r="AN963" s="18"/>
      <c r="AP963" s="18"/>
      <c r="AR963" s="18"/>
      <c r="AT963" s="18"/>
      <c r="AV963" s="18"/>
      <c r="AX963" s="18"/>
      <c r="AZ963" s="18"/>
      <c r="BB963" s="18"/>
      <c r="BD963" s="18"/>
      <c r="BF963" s="18"/>
      <c r="BH963" s="18"/>
      <c r="BJ963" s="18"/>
      <c r="BL963" s="18"/>
      <c r="BN963" s="18"/>
    </row>
    <row r="964" spans="16:67" ht="11.25" customHeight="1">
      <c r="R964" s="18"/>
      <c r="T964" s="18"/>
      <c r="V964" s="18"/>
      <c r="X964" s="18"/>
      <c r="Z964" s="18"/>
      <c r="AB964" s="18"/>
      <c r="AD964" s="18"/>
      <c r="AF964" s="18"/>
      <c r="AH964" s="18"/>
      <c r="AJ964" s="18"/>
      <c r="AL964" s="18"/>
      <c r="AN964" s="18"/>
      <c r="AP964" s="18"/>
      <c r="AR964" s="18"/>
      <c r="AT964" s="18"/>
      <c r="AV964" s="18"/>
      <c r="AX964" s="18"/>
      <c r="AZ964" s="18"/>
      <c r="BB964" s="18"/>
      <c r="BD964" s="18"/>
      <c r="BF964" s="18"/>
      <c r="BH964" s="18"/>
      <c r="BJ964" s="18"/>
      <c r="BL964" s="18"/>
      <c r="BN964" s="18"/>
    </row>
    <row r="965" spans="16:67" ht="11.25" customHeight="1">
      <c r="R965" s="19"/>
      <c r="T965" s="19"/>
      <c r="V965" s="19"/>
      <c r="X965" s="19"/>
      <c r="Z965" s="19"/>
      <c r="AB965" s="19"/>
      <c r="AD965" s="19"/>
      <c r="AF965" s="19"/>
      <c r="AH965" s="19"/>
      <c r="AJ965" s="19"/>
      <c r="AL965" s="19"/>
      <c r="AN965" s="19"/>
      <c r="AP965" s="19"/>
      <c r="AR965" s="19"/>
      <c r="AT965" s="19"/>
      <c r="AV965" s="19"/>
      <c r="AX965" s="19"/>
      <c r="AZ965" s="19"/>
      <c r="BB965" s="19"/>
      <c r="BD965" s="19"/>
      <c r="BF965" s="19"/>
      <c r="BH965" s="19"/>
      <c r="BJ965" s="19"/>
      <c r="BL965" s="19"/>
      <c r="BN965" s="19"/>
    </row>
    <row r="966" spans="16:67" ht="11.25" customHeight="1">
      <c r="R966" s="19"/>
      <c r="T966" s="19"/>
      <c r="V966" s="19"/>
      <c r="X966" s="19"/>
      <c r="Z966" s="19"/>
      <c r="AB966" s="19"/>
      <c r="AD966" s="19"/>
      <c r="AF966" s="19"/>
      <c r="AH966" s="19"/>
      <c r="AJ966" s="19"/>
      <c r="AL966" s="19"/>
      <c r="AN966" s="19"/>
      <c r="AP966" s="19"/>
      <c r="AR966" s="19"/>
      <c r="AT966" s="19"/>
      <c r="AV966" s="19"/>
      <c r="AX966" s="19"/>
      <c r="AZ966" s="19"/>
      <c r="BB966" s="19"/>
      <c r="BD966" s="19"/>
      <c r="BF966" s="19"/>
      <c r="BH966" s="19"/>
      <c r="BJ966" s="19"/>
      <c r="BL966" s="19"/>
      <c r="BN966" s="19"/>
    </row>
    <row r="967" spans="16:67" ht="11.25" customHeight="1">
      <c r="Q967" s="17"/>
      <c r="R967" s="19"/>
      <c r="T967" s="19"/>
      <c r="V967" s="19"/>
      <c r="X967" s="19"/>
      <c r="Z967" s="19"/>
      <c r="AB967" s="19"/>
      <c r="AD967" s="19"/>
      <c r="AF967" s="19"/>
      <c r="AH967" s="19"/>
      <c r="AJ967" s="19"/>
      <c r="AL967" s="19"/>
      <c r="AN967" s="19"/>
      <c r="AP967" s="19"/>
      <c r="AR967" s="19"/>
      <c r="AT967" s="19"/>
      <c r="AV967" s="19"/>
      <c r="AX967" s="19"/>
      <c r="AZ967" s="19"/>
      <c r="BB967" s="19"/>
      <c r="BD967" s="19"/>
      <c r="BF967" s="19"/>
      <c r="BH967" s="19"/>
      <c r="BJ967" s="19"/>
      <c r="BL967" s="19"/>
      <c r="BN967" s="19"/>
    </row>
    <row r="968" spans="16:67" ht="11.25" customHeight="1">
      <c r="Q968" s="18"/>
      <c r="S968" s="18"/>
      <c r="U968" s="18"/>
      <c r="W968" s="18"/>
      <c r="Y968" s="18"/>
      <c r="AA968" s="18"/>
      <c r="AC968" s="18"/>
      <c r="AE968" s="18"/>
      <c r="AG968" s="18"/>
      <c r="AI968" s="18"/>
      <c r="AK968" s="18"/>
      <c r="AM968" s="18"/>
      <c r="AO968" s="18"/>
      <c r="AQ968" s="18"/>
      <c r="AS968" s="18"/>
      <c r="AU968" s="18"/>
      <c r="AW968" s="18"/>
      <c r="AY968" s="18"/>
      <c r="BA968" s="18"/>
      <c r="BC968" s="18"/>
      <c r="BE968" s="18"/>
      <c r="BG968" s="18"/>
      <c r="BI968" s="18"/>
      <c r="BK968" s="18"/>
      <c r="BM968" s="18"/>
      <c r="BO968" s="18"/>
    </row>
    <row r="969" spans="16:67" ht="11.25" customHeight="1">
      <c r="Q969" s="18"/>
      <c r="S969" s="18"/>
      <c r="U969" s="18"/>
      <c r="W969" s="18"/>
      <c r="Y969" s="18"/>
      <c r="AA969" s="18"/>
      <c r="AC969" s="18"/>
      <c r="AE969" s="18"/>
      <c r="AG969" s="18"/>
      <c r="AI969" s="18"/>
      <c r="AK969" s="18"/>
      <c r="AM969" s="18"/>
      <c r="AO969" s="18"/>
      <c r="AQ969" s="18"/>
      <c r="AS969" s="18"/>
      <c r="AU969" s="18"/>
      <c r="AW969" s="18"/>
      <c r="AY969" s="18"/>
      <c r="BA969" s="18"/>
      <c r="BC969" s="18"/>
      <c r="BE969" s="18"/>
      <c r="BG969" s="18"/>
      <c r="BI969" s="18"/>
      <c r="BK969" s="18"/>
      <c r="BM969" s="18"/>
      <c r="BO969" s="18"/>
    </row>
    <row r="970" spans="16:67" ht="11.25" customHeight="1">
      <c r="Q970" s="19"/>
      <c r="S970" s="19"/>
      <c r="U970" s="19"/>
      <c r="W970" s="19"/>
      <c r="Y970" s="19"/>
      <c r="AA970" s="19"/>
      <c r="AC970" s="19"/>
      <c r="AE970" s="19"/>
      <c r="AG970" s="19"/>
      <c r="AI970" s="19"/>
      <c r="AK970" s="19"/>
      <c r="AM970" s="19"/>
      <c r="AO970" s="19"/>
      <c r="AQ970" s="19"/>
      <c r="AS970" s="19"/>
      <c r="AU970" s="19"/>
      <c r="AW970" s="19"/>
      <c r="AY970" s="19"/>
      <c r="BA970" s="19"/>
      <c r="BC970" s="19"/>
      <c r="BE970" s="19"/>
      <c r="BG970" s="19"/>
      <c r="BI970" s="19"/>
      <c r="BK970" s="19"/>
      <c r="BM970" s="19"/>
      <c r="BO970" s="19"/>
    </row>
    <row r="971" spans="16:67" ht="11.25" customHeight="1">
      <c r="Q971" s="19"/>
      <c r="S971" s="19"/>
      <c r="U971" s="19"/>
      <c r="W971" s="19"/>
      <c r="Y971" s="19"/>
      <c r="AA971" s="19"/>
      <c r="AC971" s="19"/>
      <c r="AE971" s="19"/>
      <c r="AG971" s="19"/>
      <c r="AI971" s="19"/>
      <c r="AK971" s="19"/>
      <c r="AM971" s="19"/>
      <c r="AO971" s="19"/>
      <c r="AQ971" s="19"/>
      <c r="AS971" s="19"/>
      <c r="AU971" s="19"/>
      <c r="AW971" s="19"/>
      <c r="AY971" s="19"/>
      <c r="BA971" s="19"/>
      <c r="BC971" s="19"/>
      <c r="BE971" s="19"/>
      <c r="BG971" s="19"/>
      <c r="BI971" s="19"/>
      <c r="BK971" s="19"/>
      <c r="BM971" s="19"/>
      <c r="BO971" s="19"/>
    </row>
    <row r="972" spans="16:67" ht="11.25" customHeight="1">
      <c r="P972" s="17"/>
      <c r="Q972" s="19"/>
      <c r="S972" s="19"/>
      <c r="U972" s="19"/>
      <c r="W972" s="19"/>
      <c r="Y972" s="19"/>
      <c r="AA972" s="19"/>
      <c r="AC972" s="19"/>
      <c r="AE972" s="19"/>
      <c r="AG972" s="19"/>
      <c r="AI972" s="19"/>
      <c r="AK972" s="19"/>
      <c r="AM972" s="19"/>
      <c r="AO972" s="19"/>
      <c r="AQ972" s="19"/>
      <c r="AS972" s="19"/>
      <c r="AU972" s="19"/>
      <c r="AW972" s="19"/>
      <c r="AY972" s="19"/>
      <c r="BA972" s="19"/>
      <c r="BC972" s="19"/>
      <c r="BE972" s="19"/>
      <c r="BG972" s="19"/>
      <c r="BI972" s="19"/>
      <c r="BK972" s="19"/>
      <c r="BM972" s="19"/>
      <c r="BO972" s="19"/>
    </row>
    <row r="973" spans="16:67" ht="11.25" customHeight="1">
      <c r="P973" s="18"/>
      <c r="R973" s="18"/>
      <c r="T973" s="18"/>
      <c r="V973" s="18"/>
      <c r="X973" s="18"/>
      <c r="Z973" s="18"/>
      <c r="AB973" s="18"/>
      <c r="AD973" s="18"/>
      <c r="AF973" s="18"/>
      <c r="AH973" s="18"/>
      <c r="AJ973" s="18"/>
      <c r="AL973" s="18"/>
      <c r="AN973" s="18"/>
      <c r="AP973" s="18"/>
      <c r="AR973" s="18"/>
      <c r="AT973" s="18"/>
      <c r="AV973" s="18"/>
      <c r="AX973" s="18"/>
      <c r="AZ973" s="18"/>
      <c r="BB973" s="18"/>
      <c r="BD973" s="18"/>
      <c r="BF973" s="18"/>
      <c r="BH973" s="18"/>
      <c r="BJ973" s="18"/>
      <c r="BL973" s="18"/>
      <c r="BN973" s="18"/>
    </row>
    <row r="974" spans="16:67" ht="11.25" customHeight="1">
      <c r="P974" s="18"/>
      <c r="R974" s="18"/>
      <c r="T974" s="18"/>
      <c r="V974" s="18"/>
      <c r="X974" s="18"/>
      <c r="Z974" s="18"/>
      <c r="AB974" s="18"/>
      <c r="AD974" s="18"/>
      <c r="AF974" s="18"/>
      <c r="AH974" s="18"/>
      <c r="AJ974" s="18"/>
      <c r="AL974" s="18"/>
      <c r="AN974" s="18"/>
      <c r="AP974" s="18"/>
      <c r="AR974" s="18"/>
      <c r="AT974" s="18"/>
      <c r="AV974" s="18"/>
      <c r="AX974" s="18"/>
      <c r="AZ974" s="18"/>
      <c r="BB974" s="18"/>
      <c r="BD974" s="18"/>
      <c r="BF974" s="18"/>
      <c r="BH974" s="18"/>
      <c r="BJ974" s="18"/>
      <c r="BL974" s="18"/>
      <c r="BN974" s="18"/>
    </row>
    <row r="975" spans="16:67" ht="11.25" customHeight="1">
      <c r="P975" s="19"/>
      <c r="R975" s="19"/>
      <c r="T975" s="19"/>
      <c r="V975" s="19"/>
      <c r="X975" s="19"/>
      <c r="Z975" s="19"/>
      <c r="AB975" s="19"/>
      <c r="AD975" s="19"/>
      <c r="AF975" s="19"/>
      <c r="AH975" s="19"/>
      <c r="AJ975" s="19"/>
      <c r="AL975" s="19"/>
      <c r="AN975" s="19"/>
      <c r="AP975" s="19"/>
      <c r="AR975" s="19"/>
      <c r="AT975" s="19"/>
      <c r="AV975" s="19"/>
      <c r="AX975" s="19"/>
      <c r="AZ975" s="19"/>
      <c r="BB975" s="19"/>
      <c r="BD975" s="19"/>
      <c r="BF975" s="19"/>
      <c r="BH975" s="19"/>
      <c r="BJ975" s="19"/>
      <c r="BL975" s="19"/>
      <c r="BN975" s="19"/>
    </row>
    <row r="976" spans="16:67" ht="11.25" customHeight="1">
      <c r="P976" s="19"/>
      <c r="R976" s="19"/>
      <c r="T976" s="19"/>
      <c r="V976" s="19"/>
      <c r="X976" s="19"/>
      <c r="Z976" s="19"/>
      <c r="AB976" s="19"/>
      <c r="AD976" s="19"/>
      <c r="AF976" s="19"/>
      <c r="AH976" s="19"/>
      <c r="AJ976" s="19"/>
      <c r="AL976" s="19"/>
      <c r="AN976" s="19"/>
      <c r="AP976" s="19"/>
      <c r="AR976" s="19"/>
      <c r="AT976" s="19"/>
      <c r="AV976" s="19"/>
      <c r="AX976" s="19"/>
      <c r="AZ976" s="19"/>
      <c r="BB976" s="19"/>
      <c r="BD976" s="19"/>
      <c r="BF976" s="19"/>
      <c r="BH976" s="19"/>
      <c r="BJ976" s="19"/>
      <c r="BL976" s="19"/>
      <c r="BN976" s="19"/>
    </row>
    <row r="977" spans="12:67" ht="11.25" customHeight="1">
      <c r="O977" s="17"/>
      <c r="P977" s="19"/>
      <c r="Q977" s="17"/>
      <c r="R977" s="19"/>
      <c r="T977" s="19"/>
      <c r="V977" s="19"/>
      <c r="X977" s="19"/>
      <c r="Z977" s="19"/>
      <c r="AB977" s="19"/>
      <c r="AD977" s="19"/>
      <c r="AF977" s="19"/>
      <c r="AH977" s="19"/>
      <c r="AJ977" s="19"/>
      <c r="AL977" s="19"/>
      <c r="AN977" s="19"/>
      <c r="AP977" s="19"/>
      <c r="AR977" s="19"/>
      <c r="AT977" s="19"/>
      <c r="AV977" s="19"/>
      <c r="AX977" s="19"/>
      <c r="AZ977" s="19"/>
      <c r="BB977" s="19"/>
      <c r="BD977" s="19"/>
      <c r="BF977" s="19"/>
      <c r="BH977" s="19"/>
      <c r="BJ977" s="19"/>
      <c r="BL977" s="19"/>
      <c r="BN977" s="19"/>
    </row>
    <row r="978" spans="12:67" ht="11.25" customHeight="1">
      <c r="O978" s="18"/>
      <c r="Q978" s="18"/>
      <c r="S978" s="18"/>
      <c r="U978" s="18"/>
      <c r="W978" s="18"/>
      <c r="Y978" s="18"/>
      <c r="AA978" s="18"/>
      <c r="AC978" s="18"/>
      <c r="AE978" s="18"/>
      <c r="AG978" s="18"/>
      <c r="AI978" s="18"/>
      <c r="AK978" s="18"/>
      <c r="AM978" s="18"/>
      <c r="AO978" s="18"/>
      <c r="AQ978" s="18"/>
      <c r="AS978" s="18"/>
      <c r="AU978" s="18"/>
      <c r="AW978" s="18"/>
      <c r="AY978" s="18"/>
      <c r="BA978" s="18"/>
      <c r="BC978" s="18"/>
      <c r="BE978" s="18"/>
      <c r="BG978" s="18"/>
      <c r="BI978" s="18"/>
      <c r="BK978" s="18"/>
      <c r="BM978" s="18"/>
      <c r="BO978" s="18"/>
    </row>
    <row r="979" spans="12:67" ht="11.25" customHeight="1">
      <c r="O979" s="18"/>
      <c r="Q979" s="18"/>
      <c r="S979" s="18"/>
      <c r="U979" s="18"/>
      <c r="W979" s="18"/>
      <c r="Y979" s="18"/>
      <c r="AA979" s="18"/>
      <c r="AC979" s="18"/>
      <c r="AE979" s="18"/>
      <c r="AG979" s="18"/>
      <c r="AI979" s="18"/>
      <c r="AK979" s="18"/>
      <c r="AM979" s="18"/>
      <c r="AO979" s="18"/>
      <c r="AQ979" s="18"/>
      <c r="AS979" s="18"/>
      <c r="AU979" s="18"/>
      <c r="AW979" s="18"/>
      <c r="AY979" s="18"/>
      <c r="BA979" s="18"/>
      <c r="BC979" s="18"/>
      <c r="BE979" s="18"/>
      <c r="BG979" s="18"/>
      <c r="BI979" s="18"/>
      <c r="BK979" s="18"/>
      <c r="BM979" s="18"/>
      <c r="BO979" s="18"/>
    </row>
    <row r="980" spans="12:67" ht="11.25" customHeight="1">
      <c r="O980" s="19"/>
      <c r="Q980" s="19"/>
      <c r="S980" s="19"/>
      <c r="U980" s="19"/>
      <c r="W980" s="19"/>
      <c r="Y980" s="19"/>
      <c r="AA980" s="19"/>
      <c r="AC980" s="19"/>
      <c r="AE980" s="19"/>
      <c r="AG980" s="19"/>
      <c r="AI980" s="19"/>
      <c r="AK980" s="19"/>
      <c r="AM980" s="19"/>
      <c r="AO980" s="19"/>
      <c r="AQ980" s="19"/>
      <c r="AS980" s="19"/>
      <c r="AU980" s="19"/>
      <c r="AW980" s="19"/>
      <c r="AY980" s="19"/>
      <c r="BA980" s="19"/>
      <c r="BC980" s="19"/>
      <c r="BE980" s="19"/>
      <c r="BG980" s="19"/>
      <c r="BI980" s="19"/>
      <c r="BK980" s="19"/>
      <c r="BM980" s="19"/>
      <c r="BO980" s="19"/>
    </row>
    <row r="981" spans="12:67" ht="11.25" customHeight="1">
      <c r="O981" s="19"/>
      <c r="P981" s="17"/>
      <c r="Q981" s="19"/>
      <c r="S981" s="19"/>
      <c r="U981" s="19"/>
      <c r="W981" s="19"/>
      <c r="Y981" s="19"/>
      <c r="AA981" s="19"/>
      <c r="AC981" s="19"/>
      <c r="AE981" s="19"/>
      <c r="AG981" s="19"/>
      <c r="AI981" s="19"/>
      <c r="AK981" s="19"/>
      <c r="AM981" s="19"/>
      <c r="AO981" s="19"/>
      <c r="AQ981" s="19"/>
      <c r="AS981" s="19"/>
      <c r="AU981" s="19"/>
      <c r="AW981" s="19"/>
      <c r="AY981" s="19"/>
      <c r="BA981" s="19"/>
      <c r="BC981" s="19"/>
      <c r="BE981" s="19"/>
      <c r="BG981" s="19"/>
      <c r="BI981" s="19"/>
      <c r="BK981" s="19"/>
      <c r="BM981" s="19"/>
      <c r="BO981" s="19"/>
    </row>
    <row r="982" spans="12:67" ht="11.25" customHeight="1">
      <c r="N982" s="17"/>
      <c r="O982" s="19"/>
      <c r="P982" s="18"/>
      <c r="Q982" s="19"/>
      <c r="S982" s="19"/>
      <c r="U982" s="19"/>
      <c r="W982" s="19"/>
      <c r="Y982" s="19"/>
      <c r="AA982" s="19"/>
      <c r="AC982" s="19"/>
      <c r="AE982" s="19"/>
      <c r="AG982" s="19"/>
      <c r="AI982" s="19"/>
      <c r="AK982" s="19"/>
      <c r="AM982" s="19"/>
      <c r="AO982" s="19"/>
      <c r="AQ982" s="19"/>
      <c r="AS982" s="19"/>
      <c r="AU982" s="19"/>
      <c r="AW982" s="19"/>
      <c r="AY982" s="19"/>
      <c r="BA982" s="19"/>
      <c r="BC982" s="19"/>
      <c r="BE982" s="19"/>
      <c r="BG982" s="19"/>
      <c r="BI982" s="19"/>
      <c r="BK982" s="19"/>
      <c r="BM982" s="19"/>
      <c r="BO982" s="19"/>
    </row>
    <row r="983" spans="12:67" ht="11.25" customHeight="1">
      <c r="N983" s="18"/>
      <c r="P983" s="18"/>
      <c r="R983" s="18"/>
      <c r="T983" s="18"/>
      <c r="V983" s="18"/>
      <c r="X983" s="18"/>
      <c r="Z983" s="18"/>
      <c r="AB983" s="18"/>
      <c r="AD983" s="18"/>
      <c r="AF983" s="18"/>
      <c r="AH983" s="18"/>
      <c r="AJ983" s="18"/>
      <c r="AL983" s="18"/>
      <c r="AN983" s="18"/>
      <c r="AP983" s="18"/>
      <c r="AR983" s="18"/>
      <c r="AT983" s="18"/>
      <c r="AV983" s="18"/>
      <c r="AX983" s="18"/>
      <c r="AZ983" s="18"/>
      <c r="BB983" s="18"/>
      <c r="BD983" s="18"/>
      <c r="BF983" s="18"/>
      <c r="BH983" s="18"/>
      <c r="BJ983" s="18"/>
      <c r="BL983" s="18"/>
      <c r="BN983" s="18"/>
    </row>
    <row r="984" spans="12:67" ht="11.25" customHeight="1">
      <c r="N984" s="18"/>
      <c r="P984" s="18"/>
      <c r="R984" s="18"/>
      <c r="T984" s="18"/>
      <c r="V984" s="18"/>
      <c r="X984" s="18"/>
      <c r="Z984" s="18"/>
      <c r="AB984" s="18"/>
      <c r="AD984" s="18"/>
      <c r="AF984" s="18"/>
      <c r="AH984" s="18"/>
      <c r="AJ984" s="18"/>
      <c r="AL984" s="18"/>
      <c r="AN984" s="18"/>
      <c r="AP984" s="18"/>
      <c r="AR984" s="18"/>
      <c r="AT984" s="18"/>
      <c r="AV984" s="18"/>
      <c r="AX984" s="18"/>
      <c r="AZ984" s="18"/>
      <c r="BB984" s="18"/>
      <c r="BD984" s="18"/>
      <c r="BF984" s="18"/>
      <c r="BH984" s="18"/>
      <c r="BJ984" s="18"/>
      <c r="BL984" s="18"/>
      <c r="BN984" s="18"/>
    </row>
    <row r="985" spans="12:67" ht="11.25" customHeight="1">
      <c r="N985" s="19"/>
      <c r="O985" s="17"/>
      <c r="P985" s="19"/>
      <c r="R985" s="19"/>
      <c r="T985" s="19"/>
      <c r="V985" s="19"/>
      <c r="X985" s="19"/>
      <c r="Z985" s="19"/>
      <c r="AB985" s="19"/>
      <c r="AD985" s="19"/>
      <c r="AF985" s="19"/>
      <c r="AH985" s="19"/>
      <c r="AJ985" s="19"/>
      <c r="AL985" s="19"/>
      <c r="AN985" s="19"/>
      <c r="AP985" s="19"/>
      <c r="AR985" s="19"/>
      <c r="AT985" s="19"/>
      <c r="AV985" s="19"/>
      <c r="AX985" s="19"/>
      <c r="AZ985" s="19"/>
      <c r="BB985" s="19"/>
      <c r="BD985" s="19"/>
      <c r="BF985" s="19"/>
      <c r="BH985" s="19"/>
      <c r="BJ985" s="19"/>
      <c r="BL985" s="19"/>
      <c r="BN985" s="19"/>
    </row>
    <row r="986" spans="12:67" ht="11.25" customHeight="1">
      <c r="N986" s="19"/>
      <c r="O986" s="18"/>
      <c r="P986" s="19"/>
      <c r="Q986" s="18"/>
      <c r="R986" s="19"/>
      <c r="T986" s="19"/>
      <c r="V986" s="19"/>
      <c r="X986" s="19"/>
      <c r="Z986" s="19"/>
      <c r="AB986" s="19"/>
      <c r="AD986" s="19"/>
      <c r="AF986" s="19"/>
      <c r="AH986" s="19"/>
      <c r="AJ986" s="19"/>
      <c r="AL986" s="19"/>
      <c r="AN986" s="19"/>
      <c r="AP986" s="19"/>
      <c r="AR986" s="19"/>
      <c r="AT986" s="19"/>
      <c r="AV986" s="19"/>
      <c r="AX986" s="19"/>
      <c r="AZ986" s="19"/>
      <c r="BB986" s="19"/>
      <c r="BD986" s="19"/>
      <c r="BF986" s="19"/>
      <c r="BH986" s="19"/>
      <c r="BJ986" s="19"/>
      <c r="BL986" s="19"/>
      <c r="BN986" s="19"/>
    </row>
    <row r="987" spans="12:67" ht="11.25" customHeight="1">
      <c r="M987" s="17"/>
      <c r="N987" s="19"/>
      <c r="O987" s="18"/>
      <c r="P987" s="19"/>
      <c r="Q987" s="18"/>
      <c r="R987" s="19"/>
      <c r="T987" s="19"/>
      <c r="V987" s="19"/>
      <c r="X987" s="19"/>
      <c r="Z987" s="19"/>
      <c r="AB987" s="19"/>
      <c r="AD987" s="19"/>
      <c r="AF987" s="19"/>
      <c r="AH987" s="19"/>
      <c r="AJ987" s="19"/>
      <c r="AL987" s="19"/>
      <c r="AN987" s="19"/>
      <c r="AP987" s="19"/>
      <c r="AR987" s="19"/>
      <c r="AT987" s="19"/>
      <c r="AV987" s="19"/>
      <c r="AX987" s="19"/>
      <c r="AZ987" s="19"/>
      <c r="BB987" s="19"/>
      <c r="BD987" s="19"/>
      <c r="BF987" s="19"/>
      <c r="BH987" s="19"/>
      <c r="BJ987" s="19"/>
      <c r="BL987" s="19"/>
      <c r="BN987" s="19"/>
    </row>
    <row r="988" spans="12:67" ht="11.25" customHeight="1">
      <c r="M988" s="18"/>
      <c r="O988" s="18"/>
      <c r="Q988" s="18"/>
      <c r="S988" s="18"/>
      <c r="U988" s="18"/>
      <c r="W988" s="18"/>
      <c r="Y988" s="18"/>
      <c r="AA988" s="18"/>
      <c r="AC988" s="18"/>
      <c r="AE988" s="18"/>
      <c r="AG988" s="18"/>
      <c r="AI988" s="18"/>
      <c r="AK988" s="18"/>
      <c r="AM988" s="18"/>
      <c r="AO988" s="18"/>
      <c r="AQ988" s="18"/>
      <c r="AS988" s="18"/>
      <c r="AU988" s="18"/>
      <c r="AW988" s="18"/>
      <c r="AY988" s="18"/>
      <c r="BA988" s="18"/>
      <c r="BC988" s="18"/>
      <c r="BE988" s="18"/>
      <c r="BG988" s="18"/>
      <c r="BI988" s="18"/>
      <c r="BK988" s="18"/>
      <c r="BM988" s="18"/>
      <c r="BO988" s="18"/>
    </row>
    <row r="989" spans="12:67" ht="11.25" customHeight="1">
      <c r="M989" s="18"/>
      <c r="N989" s="17"/>
      <c r="O989" s="18"/>
      <c r="Q989" s="18"/>
      <c r="S989" s="18"/>
      <c r="U989" s="18"/>
      <c r="W989" s="18"/>
      <c r="Y989" s="18"/>
      <c r="AA989" s="18"/>
      <c r="AC989" s="18"/>
      <c r="AE989" s="18"/>
      <c r="AG989" s="18"/>
      <c r="AI989" s="18"/>
      <c r="AK989" s="18"/>
      <c r="AM989" s="18"/>
      <c r="AO989" s="18"/>
      <c r="AQ989" s="18"/>
      <c r="AS989" s="18"/>
      <c r="AU989" s="18"/>
      <c r="AW989" s="18"/>
      <c r="AY989" s="18"/>
      <c r="BA989" s="18"/>
      <c r="BC989" s="18"/>
      <c r="BE989" s="18"/>
      <c r="BG989" s="18"/>
      <c r="BI989" s="18"/>
      <c r="BK989" s="18"/>
      <c r="BM989" s="18"/>
      <c r="BO989" s="18"/>
    </row>
    <row r="990" spans="12:67" ht="11.25" customHeight="1">
      <c r="M990" s="19"/>
      <c r="N990" s="18"/>
      <c r="O990" s="19"/>
      <c r="P990" s="18"/>
      <c r="Q990" s="19"/>
      <c r="S990" s="19"/>
      <c r="U990" s="19"/>
      <c r="W990" s="19"/>
      <c r="Y990" s="19"/>
      <c r="AA990" s="19"/>
      <c r="AC990" s="19"/>
      <c r="AE990" s="19"/>
      <c r="AG990" s="19"/>
      <c r="AI990" s="19"/>
      <c r="AK990" s="19"/>
      <c r="AM990" s="19"/>
      <c r="AO990" s="19"/>
      <c r="AQ990" s="19"/>
      <c r="AS990" s="19"/>
      <c r="AU990" s="19"/>
      <c r="AW990" s="19"/>
      <c r="AY990" s="19"/>
      <c r="BA990" s="19"/>
      <c r="BC990" s="19"/>
      <c r="BE990" s="19"/>
      <c r="BG990" s="19"/>
      <c r="BI990" s="19"/>
      <c r="BK990" s="19"/>
      <c r="BM990" s="19"/>
      <c r="BO990" s="19"/>
    </row>
    <row r="991" spans="12:67" ht="11.25" customHeight="1">
      <c r="M991" s="19"/>
      <c r="N991" s="18"/>
      <c r="O991" s="19"/>
      <c r="P991" s="18"/>
      <c r="Q991" s="19"/>
      <c r="S991" s="19"/>
      <c r="U991" s="19"/>
      <c r="W991" s="19"/>
      <c r="Y991" s="19"/>
      <c r="AA991" s="19"/>
      <c r="AC991" s="19"/>
      <c r="AE991" s="19"/>
      <c r="AG991" s="19"/>
      <c r="AI991" s="19"/>
      <c r="AK991" s="19"/>
      <c r="AM991" s="19"/>
      <c r="AO991" s="19"/>
      <c r="AQ991" s="19"/>
      <c r="AS991" s="19"/>
      <c r="AU991" s="19"/>
      <c r="AW991" s="19"/>
      <c r="AY991" s="19"/>
      <c r="BA991" s="19"/>
      <c r="BC991" s="19"/>
      <c r="BE991" s="19"/>
      <c r="BG991" s="19"/>
      <c r="BI991" s="19"/>
      <c r="BK991" s="19"/>
      <c r="BM991" s="19"/>
      <c r="BO991" s="19"/>
    </row>
    <row r="992" spans="12:67" ht="11.25" customHeight="1">
      <c r="L992" s="17"/>
      <c r="M992" s="19"/>
      <c r="N992" s="19"/>
      <c r="O992" s="19"/>
      <c r="P992" s="19"/>
      <c r="Q992" s="19"/>
      <c r="S992" s="19"/>
      <c r="U992" s="19"/>
      <c r="W992" s="19"/>
      <c r="Y992" s="19"/>
      <c r="AA992" s="19"/>
      <c r="AC992" s="19"/>
      <c r="AE992" s="19"/>
      <c r="AG992" s="19"/>
      <c r="AI992" s="19"/>
      <c r="AK992" s="19"/>
      <c r="AM992" s="19"/>
      <c r="AO992" s="19"/>
      <c r="AQ992" s="19"/>
      <c r="AS992" s="19"/>
      <c r="AU992" s="19"/>
      <c r="AW992" s="19"/>
      <c r="AY992" s="19"/>
      <c r="BA992" s="19"/>
      <c r="BC992" s="19"/>
      <c r="BE992" s="19"/>
      <c r="BG992" s="19"/>
      <c r="BI992" s="19"/>
      <c r="BK992" s="19"/>
      <c r="BM992" s="19"/>
      <c r="BO992" s="19"/>
    </row>
    <row r="993" spans="3:67" ht="11.25" customHeight="1">
      <c r="L993" s="18"/>
      <c r="M993" s="17"/>
      <c r="N993" s="18"/>
      <c r="P993" s="18"/>
      <c r="R993" s="18"/>
      <c r="T993" s="18"/>
      <c r="V993" s="18"/>
      <c r="X993" s="18"/>
      <c r="Z993" s="18"/>
      <c r="AB993" s="18"/>
      <c r="AD993" s="18"/>
      <c r="AF993" s="18"/>
      <c r="AH993" s="18"/>
      <c r="AJ993" s="18"/>
      <c r="AL993" s="18"/>
      <c r="AN993" s="18"/>
      <c r="AP993" s="18"/>
      <c r="AR993" s="18"/>
      <c r="AT993" s="18"/>
      <c r="AV993" s="18"/>
      <c r="AX993" s="18"/>
      <c r="AZ993" s="18"/>
      <c r="BB993" s="18"/>
      <c r="BD993" s="18"/>
      <c r="BF993" s="18"/>
      <c r="BH993" s="18"/>
      <c r="BJ993" s="18"/>
      <c r="BL993" s="18"/>
      <c r="BN993" s="18"/>
    </row>
    <row r="994" spans="3:67" ht="11.25" customHeight="1">
      <c r="L994" s="18"/>
      <c r="M994" s="18"/>
      <c r="N994" s="18"/>
      <c r="O994" s="18"/>
      <c r="P994" s="18"/>
      <c r="Q994" s="18"/>
      <c r="R994" s="18"/>
      <c r="T994" s="18"/>
      <c r="V994" s="18"/>
      <c r="X994" s="18"/>
      <c r="Z994" s="18"/>
      <c r="AB994" s="18"/>
      <c r="AD994" s="18"/>
      <c r="AF994" s="18"/>
      <c r="AH994" s="18"/>
      <c r="AJ994" s="18"/>
      <c r="AL994" s="18"/>
      <c r="AN994" s="18"/>
      <c r="AP994" s="18"/>
      <c r="AR994" s="18"/>
      <c r="AT994" s="18"/>
      <c r="AV994" s="18"/>
      <c r="AX994" s="18"/>
      <c r="AZ994" s="18"/>
      <c r="BB994" s="18"/>
      <c r="BD994" s="18"/>
      <c r="BF994" s="18"/>
      <c r="BH994" s="18"/>
      <c r="BJ994" s="18"/>
      <c r="BL994" s="18"/>
      <c r="BN994" s="18"/>
    </row>
    <row r="995" spans="3:67" ht="11.25" customHeight="1">
      <c r="L995" s="19"/>
      <c r="M995" s="18"/>
      <c r="N995" s="19"/>
      <c r="O995" s="18"/>
      <c r="P995" s="19"/>
      <c r="Q995" s="18"/>
      <c r="R995" s="19"/>
      <c r="T995" s="19"/>
      <c r="V995" s="19"/>
      <c r="X995" s="19"/>
      <c r="Z995" s="19"/>
      <c r="AB995" s="19"/>
      <c r="AD995" s="19"/>
      <c r="AF995" s="19"/>
      <c r="AH995" s="19"/>
      <c r="AJ995" s="19"/>
      <c r="AL995" s="19"/>
      <c r="AN995" s="19"/>
      <c r="AP995" s="19"/>
      <c r="AR995" s="19"/>
      <c r="AT995" s="19"/>
      <c r="AV995" s="19"/>
      <c r="AX995" s="19"/>
      <c r="AZ995" s="19"/>
      <c r="BB995" s="19"/>
      <c r="BD995" s="19"/>
      <c r="BF995" s="19"/>
      <c r="BH995" s="19"/>
      <c r="BJ995" s="19"/>
      <c r="BL995" s="19"/>
      <c r="BN995" s="19"/>
    </row>
    <row r="996" spans="3:67" ht="11.25" customHeight="1">
      <c r="L996" s="19"/>
      <c r="M996" s="19"/>
      <c r="N996" s="19"/>
      <c r="O996" s="19"/>
      <c r="P996" s="19"/>
      <c r="Q996" s="19"/>
      <c r="R996" s="19"/>
      <c r="T996" s="19"/>
      <c r="V996" s="19"/>
      <c r="X996" s="19"/>
      <c r="Z996" s="19"/>
      <c r="AB996" s="19"/>
      <c r="AD996" s="19"/>
      <c r="AF996" s="19"/>
      <c r="AH996" s="19"/>
      <c r="AJ996" s="19"/>
      <c r="AL996" s="19"/>
      <c r="AN996" s="19"/>
      <c r="AP996" s="19"/>
      <c r="AR996" s="19"/>
      <c r="AT996" s="19"/>
      <c r="AV996" s="19"/>
      <c r="AX996" s="19"/>
      <c r="AZ996" s="19"/>
      <c r="BB996" s="19"/>
      <c r="BD996" s="19"/>
      <c r="BF996" s="19"/>
      <c r="BH996" s="19"/>
      <c r="BJ996" s="19"/>
      <c r="BL996" s="19"/>
      <c r="BN996" s="19"/>
    </row>
    <row r="997" spans="3:67" ht="11.25" customHeight="1">
      <c r="K997" s="17"/>
      <c r="L997" s="19"/>
      <c r="M997" s="19"/>
      <c r="N997" s="19"/>
      <c r="O997" s="19"/>
      <c r="P997" s="19"/>
      <c r="Q997" s="19"/>
      <c r="R997" s="19"/>
      <c r="T997" s="19"/>
      <c r="V997" s="19"/>
      <c r="X997" s="19"/>
      <c r="Z997" s="19"/>
      <c r="AB997" s="19"/>
      <c r="AD997" s="19"/>
      <c r="AF997" s="19"/>
      <c r="AH997" s="19"/>
      <c r="AJ997" s="19"/>
      <c r="AL997" s="19"/>
      <c r="AN997" s="19"/>
      <c r="AP997" s="19"/>
      <c r="AR997" s="19"/>
      <c r="AT997" s="19"/>
      <c r="AV997" s="19"/>
      <c r="AX997" s="19"/>
      <c r="AZ997" s="19"/>
      <c r="BB997" s="19"/>
      <c r="BD997" s="19"/>
      <c r="BF997" s="19"/>
      <c r="BH997" s="19"/>
      <c r="BJ997" s="19"/>
      <c r="BL997" s="19"/>
      <c r="BN997" s="19"/>
    </row>
    <row r="998" spans="3:67" ht="11.25" customHeight="1">
      <c r="K998" s="18"/>
      <c r="L998" s="18"/>
      <c r="M998" s="18"/>
      <c r="N998" s="18"/>
      <c r="O998" s="18"/>
      <c r="P998" s="18"/>
      <c r="Q998" s="18"/>
      <c r="S998" s="18"/>
      <c r="U998" s="18"/>
      <c r="W998" s="18"/>
      <c r="Y998" s="18"/>
      <c r="AA998" s="18"/>
      <c r="AC998" s="18"/>
      <c r="AE998" s="18"/>
      <c r="AG998" s="18"/>
      <c r="AI998" s="18"/>
      <c r="AK998" s="18"/>
      <c r="AM998" s="18"/>
      <c r="AO998" s="18"/>
      <c r="AQ998" s="18"/>
      <c r="AS998" s="18"/>
      <c r="AU998" s="18"/>
      <c r="AW998" s="18"/>
      <c r="AY998" s="18"/>
      <c r="BA998" s="18"/>
      <c r="BC998" s="18"/>
      <c r="BE998" s="18"/>
      <c r="BG998" s="18"/>
      <c r="BI998" s="18"/>
      <c r="BK998" s="18"/>
      <c r="BM998" s="18"/>
      <c r="BO998" s="18"/>
    </row>
    <row r="999" spans="3:67" ht="11.25" customHeight="1">
      <c r="K999" s="18"/>
      <c r="L999" s="18"/>
      <c r="M999" s="18"/>
      <c r="N999" s="18"/>
      <c r="O999" s="18"/>
      <c r="P999" s="18"/>
      <c r="Q999" s="18"/>
      <c r="S999" s="18"/>
      <c r="U999" s="18"/>
      <c r="W999" s="18"/>
      <c r="Y999" s="18"/>
      <c r="AA999" s="18"/>
      <c r="AC999" s="18"/>
      <c r="AE999" s="18"/>
      <c r="AG999" s="18"/>
      <c r="AI999" s="18"/>
      <c r="AK999" s="18"/>
      <c r="AM999" s="18"/>
      <c r="AO999" s="18"/>
      <c r="AQ999" s="18"/>
      <c r="AS999" s="18"/>
      <c r="AU999" s="18"/>
      <c r="AW999" s="18"/>
      <c r="AY999" s="18"/>
      <c r="BA999" s="18"/>
      <c r="BC999" s="18"/>
      <c r="BE999" s="18"/>
      <c r="BG999" s="18"/>
      <c r="BI999" s="18"/>
      <c r="BK999" s="18"/>
      <c r="BM999" s="18"/>
      <c r="BO999" s="18"/>
    </row>
    <row r="1000" spans="3:67" ht="11.25" customHeight="1">
      <c r="C1000" s="24"/>
      <c r="K1000" s="19"/>
      <c r="L1000" s="19"/>
      <c r="M1000" s="19"/>
      <c r="N1000" s="19"/>
      <c r="O1000" s="19"/>
      <c r="P1000" s="19"/>
      <c r="Q1000" s="19"/>
      <c r="S1000" s="19"/>
      <c r="U1000" s="19"/>
      <c r="W1000" s="19"/>
      <c r="Y1000" s="19"/>
      <c r="AA1000" s="19"/>
      <c r="AC1000" s="19"/>
      <c r="AE1000" s="19"/>
      <c r="AG1000" s="19"/>
      <c r="AI1000" s="19"/>
      <c r="AK1000" s="19"/>
      <c r="AM1000" s="19"/>
      <c r="AO1000" s="19"/>
      <c r="AQ1000" s="19"/>
      <c r="AS1000" s="19"/>
      <c r="AU1000" s="19"/>
      <c r="AW1000" s="19"/>
      <c r="AY1000" s="19"/>
      <c r="BA1000" s="19"/>
      <c r="BC1000" s="19"/>
      <c r="BE1000" s="19"/>
      <c r="BG1000" s="19"/>
      <c r="BI1000" s="19"/>
      <c r="BK1000" s="19"/>
      <c r="BM1000" s="19"/>
      <c r="BO1000" s="19"/>
    </row>
    <row r="1001" spans="3:67" ht="11.25" customHeight="1">
      <c r="C1001" s="24"/>
      <c r="D1001" s="24"/>
      <c r="E1001" s="24"/>
      <c r="K1001" s="19"/>
      <c r="L1001" s="19"/>
      <c r="M1001" s="19"/>
      <c r="N1001" s="19"/>
      <c r="O1001" s="19"/>
      <c r="P1001" s="19"/>
      <c r="Q1001" s="19"/>
      <c r="S1001" s="19"/>
      <c r="U1001" s="19"/>
      <c r="W1001" s="19"/>
      <c r="Y1001" s="19"/>
      <c r="AA1001" s="19"/>
      <c r="AC1001" s="19"/>
      <c r="AE1001" s="19"/>
      <c r="AG1001" s="19"/>
      <c r="AI1001" s="19"/>
      <c r="AK1001" s="19"/>
      <c r="AM1001" s="19"/>
      <c r="AO1001" s="19"/>
      <c r="AQ1001" s="19"/>
      <c r="AS1001" s="19"/>
      <c r="AU1001" s="19"/>
      <c r="AW1001" s="19"/>
      <c r="AY1001" s="19"/>
      <c r="BA1001" s="19"/>
      <c r="BC1001" s="19"/>
      <c r="BE1001" s="19"/>
      <c r="BG1001" s="19"/>
      <c r="BI1001" s="19"/>
      <c r="BK1001" s="19"/>
      <c r="BM1001" s="19"/>
      <c r="BO1001" s="19"/>
    </row>
    <row r="1002" spans="3:67" ht="11.25" customHeight="1">
      <c r="C1002" s="24"/>
      <c r="E1002" s="24"/>
      <c r="J1002" s="17"/>
      <c r="K1002" s="19"/>
      <c r="M1002" s="19"/>
      <c r="O1002" s="19"/>
      <c r="Q1002" s="19"/>
      <c r="S1002" s="19"/>
      <c r="U1002" s="19"/>
      <c r="W1002" s="19"/>
      <c r="Y1002" s="19"/>
      <c r="AA1002" s="19"/>
      <c r="AC1002" s="19"/>
      <c r="AE1002" s="19"/>
      <c r="AG1002" s="19"/>
      <c r="AI1002" s="19"/>
      <c r="AK1002" s="19"/>
      <c r="AM1002" s="19"/>
      <c r="AO1002" s="19"/>
      <c r="AQ1002" s="19"/>
      <c r="AS1002" s="19"/>
      <c r="AU1002" s="19"/>
      <c r="AW1002" s="19"/>
      <c r="AY1002" s="19"/>
      <c r="BA1002" s="19"/>
      <c r="BC1002" s="19"/>
      <c r="BE1002" s="19"/>
      <c r="BG1002" s="19"/>
      <c r="BI1002" s="19"/>
      <c r="BK1002" s="19"/>
      <c r="BM1002" s="19"/>
      <c r="BO1002" s="19"/>
    </row>
    <row r="1003" spans="3:67" ht="11.25" customHeight="1">
      <c r="C1003" s="24"/>
      <c r="D1003" s="24"/>
      <c r="J1003" s="18"/>
      <c r="K1003" s="18"/>
      <c r="L1003" s="18"/>
      <c r="M1003" s="18"/>
      <c r="N1003" s="18"/>
      <c r="O1003" s="18"/>
      <c r="P1003" s="18"/>
      <c r="Q1003" s="18"/>
      <c r="R1003" s="18"/>
      <c r="T1003" s="18"/>
      <c r="V1003" s="18"/>
      <c r="X1003" s="18"/>
      <c r="Z1003" s="18"/>
      <c r="AB1003" s="18"/>
      <c r="AD1003" s="18"/>
      <c r="AF1003" s="18"/>
      <c r="AH1003" s="18"/>
      <c r="AJ1003" s="18"/>
      <c r="AL1003" s="18"/>
      <c r="AN1003" s="18"/>
      <c r="AP1003" s="18"/>
      <c r="AR1003" s="18"/>
      <c r="AT1003" s="18"/>
      <c r="AV1003" s="18"/>
      <c r="AX1003" s="18"/>
      <c r="AZ1003" s="18"/>
      <c r="BB1003" s="18"/>
      <c r="BD1003" s="18"/>
      <c r="BF1003" s="18"/>
      <c r="BH1003" s="18"/>
      <c r="BJ1003" s="18"/>
      <c r="BL1003" s="18"/>
      <c r="BN1003" s="18"/>
    </row>
    <row r="1004" spans="3:67" ht="11.25" customHeight="1">
      <c r="C1004" s="24"/>
      <c r="E1004" s="24"/>
      <c r="J1004" s="18"/>
      <c r="K1004" s="19"/>
      <c r="L1004" s="18"/>
      <c r="M1004" s="19"/>
      <c r="N1004" s="18"/>
      <c r="O1004" s="19"/>
      <c r="P1004" s="18"/>
      <c r="Q1004" s="19"/>
      <c r="R1004" s="18"/>
      <c r="T1004" s="18"/>
      <c r="V1004" s="18"/>
      <c r="X1004" s="18"/>
      <c r="Z1004" s="18"/>
      <c r="AB1004" s="18"/>
      <c r="AD1004" s="18"/>
      <c r="AF1004" s="18"/>
      <c r="AH1004" s="18"/>
      <c r="AJ1004" s="18"/>
      <c r="AL1004" s="18"/>
      <c r="AN1004" s="18"/>
      <c r="AP1004" s="18"/>
      <c r="AR1004" s="18"/>
      <c r="AT1004" s="18"/>
      <c r="AV1004" s="18"/>
      <c r="AX1004" s="18"/>
      <c r="AZ1004" s="18"/>
      <c r="BB1004" s="18"/>
      <c r="BD1004" s="18"/>
      <c r="BF1004" s="18"/>
      <c r="BH1004" s="18"/>
      <c r="BJ1004" s="18"/>
      <c r="BL1004" s="18"/>
      <c r="BN1004" s="18"/>
    </row>
    <row r="1005" spans="3:67" ht="11.25" customHeight="1">
      <c r="C1005" s="24"/>
      <c r="D1005" s="24"/>
      <c r="E1005" s="24"/>
      <c r="J1005" s="19"/>
      <c r="K1005" s="19"/>
      <c r="L1005" s="19"/>
      <c r="M1005" s="19"/>
      <c r="N1005" s="19"/>
      <c r="O1005" s="19"/>
      <c r="P1005" s="19"/>
      <c r="Q1005" s="19"/>
      <c r="R1005" s="19"/>
      <c r="T1005" s="19"/>
      <c r="V1005" s="19"/>
      <c r="X1005" s="19"/>
      <c r="Z1005" s="19"/>
      <c r="AB1005" s="19"/>
      <c r="AD1005" s="19"/>
      <c r="AF1005" s="19"/>
      <c r="AH1005" s="19"/>
      <c r="AJ1005" s="19"/>
      <c r="AL1005" s="19"/>
      <c r="AN1005" s="19"/>
      <c r="AP1005" s="19"/>
      <c r="AR1005" s="19"/>
      <c r="AT1005" s="19"/>
      <c r="AV1005" s="19"/>
      <c r="AX1005" s="19"/>
      <c r="AZ1005" s="19"/>
      <c r="BB1005" s="19"/>
      <c r="BD1005" s="19"/>
      <c r="BF1005" s="19"/>
      <c r="BH1005" s="19"/>
      <c r="BJ1005" s="19"/>
      <c r="BL1005" s="19"/>
      <c r="BN1005" s="19"/>
    </row>
    <row r="1006" spans="3:67" ht="11.25" customHeight="1">
      <c r="C1006" s="24"/>
      <c r="D1006" s="24"/>
      <c r="E1006" s="24"/>
      <c r="J1006" s="19"/>
      <c r="L1006" s="19"/>
      <c r="N1006" s="19"/>
      <c r="P1006" s="19"/>
      <c r="R1006" s="19"/>
      <c r="T1006" s="19"/>
      <c r="V1006" s="19"/>
      <c r="X1006" s="19"/>
      <c r="Z1006" s="19"/>
      <c r="AB1006" s="19"/>
      <c r="AD1006" s="19"/>
      <c r="AF1006" s="19"/>
      <c r="AH1006" s="19"/>
      <c r="AJ1006" s="19"/>
      <c r="AL1006" s="19"/>
      <c r="AN1006" s="19"/>
      <c r="AP1006" s="19"/>
      <c r="AR1006" s="19"/>
      <c r="AT1006" s="19"/>
      <c r="AV1006" s="19"/>
      <c r="AX1006" s="19"/>
      <c r="AZ1006" s="19"/>
      <c r="BB1006" s="19"/>
      <c r="BD1006" s="19"/>
      <c r="BF1006" s="19"/>
      <c r="BH1006" s="19"/>
      <c r="BJ1006" s="19"/>
      <c r="BL1006" s="19"/>
      <c r="BN1006" s="19"/>
    </row>
    <row r="1007" spans="3:67" ht="11.25" customHeight="1">
      <c r="C1007" s="24"/>
      <c r="D1007" s="24"/>
      <c r="I1007" s="17"/>
      <c r="J1007" s="19"/>
      <c r="L1007" s="19"/>
      <c r="N1007" s="19"/>
      <c r="P1007" s="19"/>
      <c r="R1007" s="19"/>
      <c r="T1007" s="19"/>
      <c r="V1007" s="19"/>
      <c r="X1007" s="19"/>
      <c r="Z1007" s="19"/>
      <c r="AB1007" s="19"/>
      <c r="AD1007" s="19"/>
      <c r="AF1007" s="19"/>
      <c r="AH1007" s="19"/>
      <c r="AJ1007" s="19"/>
      <c r="AL1007" s="19"/>
      <c r="AN1007" s="19"/>
      <c r="AP1007" s="19"/>
      <c r="AR1007" s="19"/>
      <c r="AT1007" s="19"/>
      <c r="AV1007" s="19"/>
      <c r="AX1007" s="19"/>
      <c r="AZ1007" s="19"/>
      <c r="BB1007" s="19"/>
      <c r="BD1007" s="19"/>
      <c r="BF1007" s="19"/>
      <c r="BH1007" s="19"/>
      <c r="BJ1007" s="19"/>
      <c r="BL1007" s="19"/>
      <c r="BN1007" s="19"/>
    </row>
    <row r="1008" spans="3:67" ht="11.25" customHeight="1">
      <c r="I1008" s="18"/>
      <c r="J1008" s="19"/>
      <c r="K1008" s="18"/>
      <c r="L1008" s="19"/>
      <c r="M1008" s="18"/>
      <c r="N1008" s="19"/>
      <c r="O1008" s="18"/>
      <c r="P1008" s="19"/>
      <c r="Q1008" s="18"/>
      <c r="S1008" s="18"/>
      <c r="U1008" s="18"/>
      <c r="W1008" s="18"/>
      <c r="Y1008" s="18"/>
      <c r="AA1008" s="18"/>
      <c r="AC1008" s="18"/>
      <c r="AE1008" s="18"/>
      <c r="AG1008" s="18"/>
      <c r="AI1008" s="18"/>
      <c r="AK1008" s="18"/>
      <c r="AM1008" s="18"/>
      <c r="AO1008" s="18"/>
      <c r="AQ1008" s="18"/>
      <c r="AS1008" s="18"/>
      <c r="AU1008" s="18"/>
      <c r="AW1008" s="18"/>
      <c r="AY1008" s="18"/>
      <c r="BA1008" s="18"/>
      <c r="BC1008" s="18"/>
      <c r="BE1008" s="18"/>
      <c r="BG1008" s="18"/>
      <c r="BI1008" s="18"/>
      <c r="BK1008" s="18"/>
      <c r="BM1008" s="18"/>
      <c r="BO1008" s="18"/>
    </row>
    <row r="1009" spans="3:67" ht="11.25" customHeight="1">
      <c r="C1009" s="24"/>
      <c r="I1009" s="18"/>
      <c r="J1009" s="19"/>
      <c r="K1009" s="18"/>
      <c r="L1009" s="19"/>
      <c r="M1009" s="18"/>
      <c r="N1009" s="19"/>
      <c r="O1009" s="18"/>
      <c r="P1009" s="19"/>
      <c r="Q1009" s="18"/>
      <c r="S1009" s="18"/>
      <c r="U1009" s="18"/>
      <c r="W1009" s="18"/>
      <c r="Y1009" s="18"/>
      <c r="AA1009" s="18"/>
      <c r="AC1009" s="18"/>
      <c r="AE1009" s="18"/>
      <c r="AG1009" s="18"/>
      <c r="AI1009" s="18"/>
      <c r="AK1009" s="18"/>
      <c r="AM1009" s="18"/>
      <c r="AO1009" s="18"/>
      <c r="AQ1009" s="18"/>
      <c r="AS1009" s="18"/>
      <c r="AU1009" s="18"/>
      <c r="AW1009" s="18"/>
      <c r="AY1009" s="18"/>
      <c r="BA1009" s="18"/>
      <c r="BC1009" s="18"/>
      <c r="BE1009" s="18"/>
      <c r="BG1009" s="18"/>
      <c r="BI1009" s="18"/>
      <c r="BK1009" s="18"/>
      <c r="BM1009" s="18"/>
      <c r="BO1009" s="18"/>
    </row>
    <row r="1010" spans="3:67" ht="11.25" customHeight="1">
      <c r="C1010" s="46"/>
      <c r="D1010" s="24"/>
      <c r="F1010" s="24"/>
      <c r="I1010" s="19"/>
      <c r="K1010" s="19"/>
      <c r="M1010" s="19"/>
      <c r="O1010" s="19"/>
      <c r="Q1010" s="19"/>
      <c r="S1010" s="19"/>
      <c r="U1010" s="19"/>
      <c r="W1010" s="19"/>
      <c r="Y1010" s="19"/>
      <c r="AA1010" s="19"/>
      <c r="AC1010" s="19"/>
      <c r="AE1010" s="19"/>
      <c r="AG1010" s="19"/>
      <c r="AI1010" s="19"/>
      <c r="AK1010" s="19"/>
      <c r="AM1010" s="19"/>
      <c r="AO1010" s="19"/>
      <c r="AQ1010" s="19"/>
      <c r="AS1010" s="19"/>
      <c r="AU1010" s="19"/>
      <c r="AW1010" s="19"/>
      <c r="AY1010" s="19"/>
      <c r="BA1010" s="19"/>
      <c r="BC1010" s="19"/>
      <c r="BE1010" s="19"/>
      <c r="BG1010" s="19"/>
      <c r="BI1010" s="19"/>
      <c r="BK1010" s="19"/>
      <c r="BM1010" s="19"/>
      <c r="BO1010" s="19"/>
    </row>
    <row r="1011" spans="3:67" ht="11.25" customHeight="1">
      <c r="D1011" s="24"/>
      <c r="I1011" s="19"/>
      <c r="K1011" s="19"/>
      <c r="M1011" s="19"/>
      <c r="O1011" s="19"/>
      <c r="Q1011" s="19"/>
      <c r="S1011" s="19"/>
      <c r="U1011" s="19"/>
      <c r="W1011" s="19"/>
      <c r="Y1011" s="19"/>
      <c r="AA1011" s="19"/>
      <c r="AC1011" s="19"/>
      <c r="AE1011" s="19"/>
      <c r="AG1011" s="19"/>
      <c r="AI1011" s="19"/>
      <c r="AK1011" s="19"/>
      <c r="AM1011" s="19"/>
      <c r="AO1011" s="19"/>
      <c r="AQ1011" s="19"/>
      <c r="AS1011" s="19"/>
      <c r="AU1011" s="19"/>
      <c r="AW1011" s="19"/>
      <c r="AY1011" s="19"/>
      <c r="BA1011" s="19"/>
      <c r="BC1011" s="19"/>
      <c r="BE1011" s="19"/>
      <c r="BG1011" s="19"/>
      <c r="BI1011" s="19"/>
      <c r="BK1011" s="19"/>
      <c r="BM1011" s="19"/>
      <c r="BO1011" s="19"/>
    </row>
    <row r="1012" spans="3:67" ht="11.25" customHeight="1">
      <c r="H1012" s="17"/>
      <c r="I1012" s="19"/>
      <c r="K1012" s="19"/>
      <c r="M1012" s="19"/>
      <c r="O1012" s="19"/>
      <c r="Q1012" s="19"/>
      <c r="S1012" s="19"/>
      <c r="U1012" s="19"/>
      <c r="W1012" s="19"/>
      <c r="Y1012" s="19"/>
      <c r="AA1012" s="19"/>
      <c r="AC1012" s="19"/>
      <c r="AE1012" s="19"/>
      <c r="AG1012" s="19"/>
      <c r="AI1012" s="19"/>
      <c r="AK1012" s="19"/>
      <c r="AM1012" s="19"/>
      <c r="AO1012" s="19"/>
      <c r="AQ1012" s="19"/>
      <c r="AS1012" s="19"/>
      <c r="AU1012" s="19"/>
      <c r="AW1012" s="19"/>
      <c r="AY1012" s="19"/>
      <c r="BA1012" s="19"/>
      <c r="BC1012" s="19"/>
      <c r="BE1012" s="19"/>
      <c r="BG1012" s="19"/>
      <c r="BI1012" s="19"/>
      <c r="BK1012" s="19"/>
      <c r="BM1012" s="19"/>
      <c r="BO1012" s="19"/>
    </row>
    <row r="1013" spans="3:67" ht="11.25" customHeight="1">
      <c r="H1013" s="18"/>
      <c r="J1013" s="18"/>
      <c r="K1013" s="19"/>
      <c r="L1013" s="18"/>
      <c r="M1013" s="19"/>
      <c r="N1013" s="18"/>
      <c r="O1013" s="19"/>
      <c r="P1013" s="18"/>
      <c r="Q1013" s="19"/>
      <c r="R1013" s="18"/>
      <c r="T1013" s="18"/>
      <c r="V1013" s="18"/>
      <c r="X1013" s="18"/>
      <c r="Z1013" s="18"/>
      <c r="AB1013" s="18"/>
      <c r="AD1013" s="18"/>
      <c r="AF1013" s="18"/>
      <c r="AH1013" s="18"/>
      <c r="AJ1013" s="18"/>
      <c r="AL1013" s="18"/>
      <c r="AN1013" s="18"/>
      <c r="AP1013" s="18"/>
      <c r="AR1013" s="18"/>
      <c r="AT1013" s="18"/>
      <c r="AV1013" s="18"/>
      <c r="AX1013" s="18"/>
      <c r="AZ1013" s="18"/>
      <c r="BB1013" s="18"/>
      <c r="BD1013" s="18"/>
      <c r="BF1013" s="18"/>
      <c r="BH1013" s="18"/>
      <c r="BJ1013" s="18"/>
      <c r="BL1013" s="18"/>
      <c r="BN1013" s="18"/>
    </row>
    <row r="1014" spans="3:67" ht="11.25" customHeight="1">
      <c r="H1014" s="18"/>
      <c r="J1014" s="18"/>
      <c r="L1014" s="18"/>
      <c r="N1014" s="18"/>
      <c r="P1014" s="18"/>
      <c r="R1014" s="18"/>
      <c r="T1014" s="18"/>
      <c r="V1014" s="18"/>
      <c r="X1014" s="18"/>
      <c r="Z1014" s="18"/>
      <c r="AB1014" s="18"/>
      <c r="AD1014" s="18"/>
      <c r="AF1014" s="18"/>
      <c r="AH1014" s="18"/>
      <c r="AJ1014" s="18"/>
      <c r="AL1014" s="18"/>
      <c r="AN1014" s="18"/>
      <c r="AP1014" s="18"/>
      <c r="AR1014" s="18"/>
      <c r="AT1014" s="18"/>
      <c r="AV1014" s="18"/>
      <c r="AX1014" s="18"/>
      <c r="AZ1014" s="18"/>
      <c r="BB1014" s="18"/>
      <c r="BD1014" s="18"/>
      <c r="BF1014" s="18"/>
      <c r="BH1014" s="18"/>
      <c r="BJ1014" s="18"/>
      <c r="BL1014" s="18"/>
      <c r="BN1014" s="18"/>
    </row>
    <row r="1015" spans="3:67">
      <c r="H1015" s="19"/>
      <c r="J1015" s="19"/>
      <c r="L1015" s="19"/>
      <c r="N1015" s="19"/>
      <c r="P1015" s="19"/>
      <c r="R1015" s="19"/>
      <c r="T1015" s="19"/>
      <c r="V1015" s="19"/>
      <c r="X1015" s="19"/>
      <c r="Z1015" s="19"/>
      <c r="AB1015" s="19"/>
      <c r="AD1015" s="19"/>
      <c r="AF1015" s="19"/>
      <c r="AH1015" s="19"/>
      <c r="AJ1015" s="19"/>
      <c r="AL1015" s="19"/>
      <c r="AN1015" s="19"/>
      <c r="AP1015" s="19"/>
      <c r="AR1015" s="19"/>
      <c r="AT1015" s="19"/>
      <c r="AV1015" s="19"/>
      <c r="AX1015" s="19"/>
      <c r="AZ1015" s="19"/>
      <c r="BB1015" s="19"/>
      <c r="BD1015" s="19"/>
      <c r="BF1015" s="19"/>
      <c r="BH1015" s="19"/>
      <c r="BJ1015" s="19"/>
      <c r="BL1015" s="19"/>
      <c r="BN1015" s="19"/>
    </row>
    <row r="1016" spans="3:67">
      <c r="H1016" s="19"/>
      <c r="J1016" s="19"/>
      <c r="L1016" s="19"/>
      <c r="N1016" s="19"/>
      <c r="P1016" s="19"/>
      <c r="R1016" s="19"/>
      <c r="T1016" s="19"/>
      <c r="V1016" s="19"/>
      <c r="X1016" s="19"/>
      <c r="Z1016" s="19"/>
      <c r="AB1016" s="19"/>
      <c r="AD1016" s="19"/>
      <c r="AF1016" s="19"/>
      <c r="AH1016" s="19"/>
      <c r="AJ1016" s="19"/>
      <c r="AL1016" s="19"/>
      <c r="AN1016" s="19"/>
      <c r="AP1016" s="19"/>
      <c r="AR1016" s="19"/>
      <c r="AT1016" s="19"/>
      <c r="AV1016" s="19"/>
      <c r="AX1016" s="19"/>
      <c r="AZ1016" s="19"/>
      <c r="BB1016" s="19"/>
      <c r="BD1016" s="19"/>
      <c r="BF1016" s="19"/>
      <c r="BH1016" s="19"/>
      <c r="BJ1016" s="19"/>
      <c r="BL1016" s="19"/>
      <c r="BN1016" s="19"/>
    </row>
    <row r="1017" spans="3:67">
      <c r="G1017" s="47"/>
      <c r="H1017" s="19"/>
      <c r="J1017" s="19"/>
      <c r="L1017" s="19"/>
      <c r="N1017" s="19"/>
      <c r="P1017" s="19"/>
      <c r="R1017" s="19"/>
      <c r="T1017" s="19"/>
      <c r="V1017" s="19"/>
      <c r="X1017" s="19"/>
      <c r="Z1017" s="19"/>
      <c r="AB1017" s="19"/>
      <c r="AD1017" s="19"/>
      <c r="AF1017" s="19"/>
      <c r="AH1017" s="19"/>
      <c r="AJ1017" s="19"/>
      <c r="AL1017" s="19"/>
      <c r="AN1017" s="19"/>
      <c r="AP1017" s="19"/>
      <c r="AR1017" s="19"/>
      <c r="AT1017" s="19"/>
      <c r="AV1017" s="19"/>
      <c r="AX1017" s="19"/>
      <c r="AZ1017" s="19"/>
      <c r="BB1017" s="19"/>
      <c r="BD1017" s="19"/>
      <c r="BF1017" s="19"/>
      <c r="BH1017" s="19"/>
      <c r="BJ1017" s="19"/>
      <c r="BL1017" s="19"/>
      <c r="BN1017" s="19"/>
    </row>
    <row r="1018" spans="3:67">
      <c r="G1018" s="18"/>
      <c r="I1018" s="18"/>
      <c r="K1018" s="18"/>
      <c r="M1018" s="18"/>
      <c r="O1018" s="18"/>
      <c r="Q1018" s="18"/>
      <c r="S1018" s="18"/>
      <c r="U1018" s="18"/>
      <c r="W1018" s="18"/>
      <c r="Y1018" s="18"/>
      <c r="AA1018" s="18"/>
      <c r="AC1018" s="18"/>
      <c r="AE1018" s="18"/>
      <c r="AG1018" s="18"/>
      <c r="AI1018" s="18"/>
      <c r="AK1018" s="18"/>
      <c r="AM1018" s="18"/>
      <c r="AO1018" s="18"/>
      <c r="AQ1018" s="18"/>
      <c r="AS1018" s="18"/>
      <c r="AU1018" s="18"/>
      <c r="AW1018" s="18"/>
      <c r="AY1018" s="18"/>
      <c r="BA1018" s="18"/>
      <c r="BC1018" s="18"/>
      <c r="BE1018" s="18"/>
      <c r="BG1018" s="18"/>
      <c r="BI1018" s="18"/>
      <c r="BK1018" s="18"/>
      <c r="BM1018" s="18"/>
      <c r="BO1018" s="18"/>
    </row>
    <row r="1019" spans="3:67">
      <c r="G1019" s="18"/>
      <c r="I1019" s="18"/>
      <c r="K1019" s="18"/>
      <c r="M1019" s="18"/>
      <c r="O1019" s="18"/>
      <c r="Q1019" s="18"/>
      <c r="S1019" s="18"/>
      <c r="U1019" s="18"/>
      <c r="W1019" s="18"/>
      <c r="Y1019" s="18"/>
      <c r="AA1019" s="18"/>
      <c r="AC1019" s="18"/>
      <c r="AE1019" s="18"/>
      <c r="AG1019" s="18"/>
      <c r="AI1019" s="18"/>
      <c r="AK1019" s="18"/>
      <c r="AM1019" s="18"/>
      <c r="AO1019" s="18"/>
      <c r="AQ1019" s="18"/>
      <c r="AS1019" s="18"/>
      <c r="AU1019" s="18"/>
      <c r="AW1019" s="18"/>
      <c r="AY1019" s="18"/>
      <c r="BA1019" s="18"/>
      <c r="BC1019" s="18"/>
      <c r="BE1019" s="18"/>
      <c r="BG1019" s="18"/>
      <c r="BI1019" s="18"/>
      <c r="BK1019" s="18"/>
      <c r="BM1019" s="18"/>
      <c r="BO1019" s="18"/>
    </row>
    <row r="1020" spans="3:67">
      <c r="F1020" s="24"/>
      <c r="G1020" s="19"/>
      <c r="I1020" s="19"/>
      <c r="K1020" s="19"/>
      <c r="M1020" s="19"/>
      <c r="O1020" s="19"/>
      <c r="Q1020" s="19"/>
      <c r="S1020" s="19"/>
      <c r="U1020" s="19"/>
      <c r="W1020" s="19"/>
      <c r="Y1020" s="19"/>
      <c r="AA1020" s="19"/>
      <c r="AC1020" s="19"/>
      <c r="AE1020" s="19"/>
      <c r="AG1020" s="19"/>
      <c r="AI1020" s="19"/>
      <c r="AK1020" s="19"/>
      <c r="AM1020" s="19"/>
      <c r="AO1020" s="19"/>
      <c r="AQ1020" s="19"/>
      <c r="AS1020" s="19"/>
      <c r="AU1020" s="19"/>
      <c r="AW1020" s="19"/>
      <c r="AY1020" s="19"/>
      <c r="BA1020" s="19"/>
      <c r="BC1020" s="19"/>
      <c r="BE1020" s="19"/>
      <c r="BG1020" s="19"/>
      <c r="BI1020" s="19"/>
      <c r="BK1020" s="19"/>
      <c r="BM1020" s="19"/>
      <c r="BO1020" s="19"/>
    </row>
    <row r="1021" spans="3:67">
      <c r="F1021" s="24"/>
      <c r="G1021" s="19"/>
      <c r="I1021" s="19"/>
      <c r="K1021" s="19"/>
      <c r="M1021" s="19"/>
      <c r="O1021" s="19"/>
      <c r="Q1021" s="19"/>
      <c r="S1021" s="19"/>
      <c r="U1021" s="19"/>
      <c r="W1021" s="19"/>
      <c r="Y1021" s="19"/>
      <c r="AA1021" s="19"/>
      <c r="AC1021" s="19"/>
      <c r="AE1021" s="19"/>
      <c r="AG1021" s="19"/>
      <c r="AI1021" s="19"/>
      <c r="AK1021" s="19"/>
      <c r="AM1021" s="19"/>
      <c r="AO1021" s="19"/>
      <c r="AQ1021" s="19"/>
      <c r="AS1021" s="19"/>
      <c r="AU1021" s="19"/>
      <c r="AW1021" s="19"/>
      <c r="AY1021" s="19"/>
      <c r="BA1021" s="19"/>
      <c r="BC1021" s="19"/>
      <c r="BE1021" s="19"/>
      <c r="BG1021" s="19"/>
      <c r="BI1021" s="19"/>
      <c r="BK1021" s="19"/>
      <c r="BM1021" s="19"/>
      <c r="BO1021" s="19"/>
    </row>
    <row r="1022" spans="3:67">
      <c r="F1022" s="24"/>
      <c r="G1022" s="19"/>
      <c r="I1022" s="19"/>
      <c r="J1022" s="18"/>
      <c r="K1022" s="19"/>
      <c r="L1022" s="18"/>
      <c r="M1022" s="19"/>
      <c r="N1022" s="18"/>
      <c r="O1022" s="19"/>
      <c r="P1022" s="18"/>
      <c r="Q1022" s="19"/>
      <c r="S1022" s="19"/>
      <c r="U1022" s="19"/>
      <c r="W1022" s="19"/>
      <c r="Y1022" s="19"/>
      <c r="AA1022" s="19"/>
      <c r="AC1022" s="19"/>
      <c r="AE1022" s="19"/>
      <c r="AG1022" s="19"/>
      <c r="AI1022" s="19"/>
      <c r="AK1022" s="19"/>
      <c r="AM1022" s="19"/>
      <c r="AO1022" s="19"/>
      <c r="AQ1022" s="19"/>
      <c r="AS1022" s="19"/>
      <c r="AU1022" s="19"/>
      <c r="AW1022" s="19"/>
      <c r="AY1022" s="19"/>
      <c r="BA1022" s="19"/>
      <c r="BC1022" s="19"/>
      <c r="BE1022" s="19"/>
      <c r="BG1022" s="19"/>
      <c r="BI1022" s="19"/>
      <c r="BK1022" s="19"/>
      <c r="BM1022" s="19"/>
      <c r="BO1022" s="19"/>
    </row>
    <row r="1023" spans="3:67">
      <c r="F1023" s="24"/>
      <c r="H1023" s="18"/>
      <c r="J1023" s="18"/>
      <c r="L1023" s="18"/>
      <c r="N1023" s="18"/>
      <c r="P1023" s="18"/>
      <c r="R1023" s="18"/>
      <c r="T1023" s="18"/>
      <c r="V1023" s="18"/>
      <c r="X1023" s="18"/>
      <c r="Z1023" s="18"/>
      <c r="AB1023" s="18"/>
      <c r="AD1023" s="18"/>
      <c r="AF1023" s="18"/>
      <c r="AH1023" s="18"/>
      <c r="AJ1023" s="18"/>
      <c r="AL1023" s="18"/>
      <c r="AN1023" s="18"/>
      <c r="AP1023" s="18"/>
      <c r="AR1023" s="18"/>
      <c r="AT1023" s="18"/>
      <c r="AV1023" s="18"/>
      <c r="AX1023" s="18"/>
      <c r="AZ1023" s="18"/>
      <c r="BB1023" s="18"/>
      <c r="BD1023" s="18"/>
      <c r="BF1023" s="18"/>
      <c r="BH1023" s="18"/>
      <c r="BJ1023" s="18"/>
      <c r="BL1023" s="18"/>
      <c r="BN1023" s="18"/>
    </row>
    <row r="1024" spans="3:67">
      <c r="F1024" s="24"/>
      <c r="H1024" s="18"/>
      <c r="J1024" s="18"/>
      <c r="L1024" s="18"/>
      <c r="N1024" s="18"/>
      <c r="P1024" s="18"/>
      <c r="R1024" s="18"/>
      <c r="T1024" s="18"/>
      <c r="V1024" s="18"/>
      <c r="X1024" s="18"/>
      <c r="Z1024" s="18"/>
      <c r="AB1024" s="18"/>
      <c r="AD1024" s="18"/>
      <c r="AF1024" s="18"/>
      <c r="AH1024" s="18"/>
      <c r="AJ1024" s="18"/>
      <c r="AL1024" s="18"/>
      <c r="AN1024" s="18"/>
      <c r="AP1024" s="18"/>
      <c r="AR1024" s="18"/>
      <c r="AT1024" s="18"/>
      <c r="AV1024" s="18"/>
      <c r="AX1024" s="18"/>
      <c r="AZ1024" s="18"/>
      <c r="BB1024" s="18"/>
      <c r="BD1024" s="18"/>
      <c r="BF1024" s="18"/>
      <c r="BH1024" s="18"/>
      <c r="BJ1024" s="18"/>
      <c r="BL1024" s="18"/>
      <c r="BN1024" s="18"/>
    </row>
    <row r="1025" spans="8:67">
      <c r="H1025" s="19"/>
      <c r="J1025" s="19"/>
      <c r="L1025" s="19"/>
      <c r="N1025" s="19"/>
      <c r="P1025" s="19"/>
      <c r="R1025" s="19"/>
      <c r="T1025" s="19"/>
      <c r="V1025" s="19"/>
      <c r="X1025" s="19"/>
      <c r="Z1025" s="19"/>
      <c r="AB1025" s="19"/>
      <c r="AD1025" s="19"/>
      <c r="AF1025" s="19"/>
      <c r="AH1025" s="19"/>
      <c r="AJ1025" s="19"/>
      <c r="AL1025" s="19"/>
      <c r="AN1025" s="19"/>
      <c r="AP1025" s="19"/>
      <c r="AR1025" s="19"/>
      <c r="AT1025" s="19"/>
      <c r="AV1025" s="19"/>
      <c r="AX1025" s="19"/>
      <c r="AZ1025" s="19"/>
      <c r="BB1025" s="19"/>
      <c r="BD1025" s="19"/>
      <c r="BF1025" s="19"/>
      <c r="BH1025" s="19"/>
      <c r="BJ1025" s="19"/>
      <c r="BL1025" s="19"/>
      <c r="BN1025" s="19"/>
    </row>
    <row r="1026" spans="8:67">
      <c r="H1026" s="19"/>
      <c r="J1026" s="19"/>
      <c r="K1026" s="18"/>
      <c r="L1026" s="19"/>
      <c r="M1026" s="18"/>
      <c r="N1026" s="19"/>
      <c r="O1026" s="18"/>
      <c r="P1026" s="19"/>
      <c r="Q1026" s="18"/>
      <c r="R1026" s="19"/>
      <c r="T1026" s="19"/>
      <c r="V1026" s="19"/>
      <c r="X1026" s="19"/>
      <c r="Z1026" s="19"/>
      <c r="AB1026" s="19"/>
      <c r="AD1026" s="19"/>
      <c r="AF1026" s="19"/>
      <c r="AH1026" s="19"/>
      <c r="AJ1026" s="19"/>
      <c r="AL1026" s="19"/>
      <c r="AN1026" s="19"/>
      <c r="AP1026" s="19"/>
      <c r="AR1026" s="19"/>
      <c r="AT1026" s="19"/>
      <c r="AV1026" s="19"/>
      <c r="AX1026" s="19"/>
      <c r="AZ1026" s="19"/>
      <c r="BB1026" s="19"/>
      <c r="BD1026" s="19"/>
      <c r="BF1026" s="19"/>
      <c r="BH1026" s="19"/>
      <c r="BJ1026" s="19"/>
      <c r="BL1026" s="19"/>
      <c r="BN1026" s="19"/>
    </row>
    <row r="1027" spans="8:67">
      <c r="H1027" s="19"/>
      <c r="J1027" s="19"/>
      <c r="K1027" s="18"/>
      <c r="L1027" s="19"/>
      <c r="M1027" s="18"/>
      <c r="N1027" s="19"/>
      <c r="O1027" s="18"/>
      <c r="P1027" s="19"/>
      <c r="Q1027" s="18"/>
      <c r="R1027" s="19"/>
      <c r="T1027" s="19"/>
      <c r="V1027" s="19"/>
      <c r="X1027" s="19"/>
      <c r="Z1027" s="19"/>
      <c r="AB1027" s="19"/>
      <c r="AD1027" s="19"/>
      <c r="AF1027" s="19"/>
      <c r="AH1027" s="19"/>
      <c r="AJ1027" s="19"/>
      <c r="AL1027" s="19"/>
      <c r="AN1027" s="19"/>
      <c r="AP1027" s="19"/>
      <c r="AR1027" s="19"/>
      <c r="AT1027" s="19"/>
      <c r="AV1027" s="19"/>
      <c r="AX1027" s="19"/>
      <c r="AZ1027" s="19"/>
      <c r="BB1027" s="19"/>
      <c r="BD1027" s="19"/>
      <c r="BF1027" s="19"/>
      <c r="BH1027" s="19"/>
      <c r="BJ1027" s="19"/>
      <c r="BL1027" s="19"/>
      <c r="BN1027" s="19"/>
    </row>
    <row r="1028" spans="8:67">
      <c r="I1028" s="18"/>
      <c r="K1028" s="18"/>
      <c r="M1028" s="18"/>
      <c r="O1028" s="18"/>
      <c r="Q1028" s="18"/>
      <c r="S1028" s="18"/>
      <c r="U1028" s="18"/>
      <c r="W1028" s="18"/>
      <c r="Y1028" s="18"/>
      <c r="AA1028" s="18"/>
      <c r="AC1028" s="18"/>
      <c r="AE1028" s="18"/>
      <c r="AG1028" s="18"/>
      <c r="AI1028" s="18"/>
      <c r="AK1028" s="18"/>
      <c r="AM1028" s="18"/>
      <c r="AO1028" s="18"/>
      <c r="AQ1028" s="18"/>
      <c r="AS1028" s="18"/>
      <c r="AU1028" s="18"/>
      <c r="AW1028" s="18"/>
      <c r="AY1028" s="18"/>
      <c r="BA1028" s="18"/>
      <c r="BC1028" s="18"/>
      <c r="BE1028" s="18"/>
      <c r="BG1028" s="18"/>
      <c r="BI1028" s="18"/>
      <c r="BK1028" s="18"/>
      <c r="BM1028" s="18"/>
      <c r="BO1028" s="18"/>
    </row>
    <row r="1029" spans="8:67">
      <c r="I1029" s="18"/>
      <c r="K1029" s="18"/>
      <c r="M1029" s="18"/>
      <c r="O1029" s="18"/>
      <c r="Q1029" s="18"/>
      <c r="S1029" s="18"/>
      <c r="U1029" s="18"/>
      <c r="W1029" s="18"/>
      <c r="Y1029" s="18"/>
      <c r="AA1029" s="18"/>
      <c r="AC1029" s="18"/>
      <c r="AE1029" s="18"/>
      <c r="AG1029" s="18"/>
      <c r="AI1029" s="18"/>
      <c r="AK1029" s="18"/>
      <c r="AM1029" s="18"/>
      <c r="AO1029" s="18"/>
      <c r="AQ1029" s="18"/>
      <c r="AS1029" s="18"/>
      <c r="AU1029" s="18"/>
      <c r="AW1029" s="18"/>
      <c r="AY1029" s="18"/>
      <c r="BA1029" s="18"/>
      <c r="BC1029" s="18"/>
      <c r="BE1029" s="18"/>
      <c r="BG1029" s="18"/>
      <c r="BI1029" s="18"/>
      <c r="BK1029" s="18"/>
      <c r="BM1029" s="18"/>
      <c r="BO1029" s="18"/>
    </row>
    <row r="1030" spans="8:67">
      <c r="I1030" s="19"/>
      <c r="J1030" s="18"/>
      <c r="K1030" s="19"/>
      <c r="L1030" s="18"/>
      <c r="M1030" s="19"/>
      <c r="N1030" s="18"/>
      <c r="O1030" s="19"/>
      <c r="P1030" s="18"/>
      <c r="Q1030" s="19"/>
      <c r="S1030" s="19"/>
      <c r="U1030" s="19"/>
      <c r="W1030" s="19"/>
      <c r="Y1030" s="19"/>
      <c r="AA1030" s="19"/>
      <c r="AC1030" s="19"/>
      <c r="AE1030" s="19"/>
      <c r="AG1030" s="19"/>
      <c r="AI1030" s="19"/>
      <c r="AK1030" s="19"/>
      <c r="AM1030" s="19"/>
      <c r="AO1030" s="19"/>
      <c r="AQ1030" s="19"/>
      <c r="AS1030" s="19"/>
      <c r="AU1030" s="19"/>
      <c r="AW1030" s="19"/>
      <c r="AY1030" s="19"/>
      <c r="BA1030" s="19"/>
      <c r="BC1030" s="19"/>
      <c r="BE1030" s="19"/>
      <c r="BG1030" s="19"/>
      <c r="BI1030" s="19"/>
      <c r="BK1030" s="19"/>
      <c r="BM1030" s="19"/>
      <c r="BO1030" s="19"/>
    </row>
    <row r="1031" spans="8:67">
      <c r="I1031" s="19"/>
      <c r="J1031" s="18"/>
      <c r="K1031" s="19"/>
      <c r="L1031" s="18"/>
      <c r="M1031" s="19"/>
      <c r="N1031" s="18"/>
      <c r="O1031" s="19"/>
      <c r="P1031" s="18"/>
      <c r="Q1031" s="19"/>
      <c r="S1031" s="19"/>
      <c r="U1031" s="19"/>
      <c r="W1031" s="19"/>
      <c r="Y1031" s="19"/>
      <c r="AA1031" s="19"/>
      <c r="AC1031" s="19"/>
      <c r="AE1031" s="19"/>
      <c r="AG1031" s="19"/>
      <c r="AI1031" s="19"/>
      <c r="AK1031" s="19"/>
      <c r="AM1031" s="19"/>
      <c r="AO1031" s="19"/>
      <c r="AQ1031" s="19"/>
      <c r="AS1031" s="19"/>
      <c r="AU1031" s="19"/>
      <c r="AW1031" s="19"/>
      <c r="AY1031" s="19"/>
      <c r="BA1031" s="19"/>
      <c r="BC1031" s="19"/>
      <c r="BE1031" s="19"/>
      <c r="BG1031" s="19"/>
      <c r="BI1031" s="19"/>
      <c r="BK1031" s="19"/>
      <c r="BM1031" s="19"/>
      <c r="BO1031" s="19"/>
    </row>
    <row r="1032" spans="8:67">
      <c r="I1032" s="19"/>
      <c r="J1032" s="19"/>
      <c r="K1032" s="19"/>
      <c r="L1032" s="19"/>
      <c r="M1032" s="19"/>
      <c r="N1032" s="19"/>
      <c r="O1032" s="19"/>
      <c r="P1032" s="19"/>
      <c r="Q1032" s="19"/>
      <c r="S1032" s="19"/>
      <c r="U1032" s="19"/>
      <c r="W1032" s="19"/>
      <c r="Y1032" s="19"/>
      <c r="AA1032" s="19"/>
      <c r="AC1032" s="19"/>
      <c r="AE1032" s="19"/>
      <c r="AG1032" s="19"/>
      <c r="AI1032" s="19"/>
      <c r="AK1032" s="19"/>
      <c r="AM1032" s="19"/>
      <c r="AO1032" s="19"/>
      <c r="AQ1032" s="19"/>
      <c r="AS1032" s="19"/>
      <c r="AU1032" s="19"/>
      <c r="AW1032" s="19"/>
      <c r="AY1032" s="19"/>
      <c r="BA1032" s="19"/>
      <c r="BC1032" s="19"/>
      <c r="BE1032" s="19"/>
      <c r="BG1032" s="19"/>
      <c r="BI1032" s="19"/>
      <c r="BK1032" s="19"/>
      <c r="BM1032" s="19"/>
      <c r="BO1032" s="19"/>
    </row>
    <row r="1033" spans="8:67">
      <c r="J1033" s="18"/>
      <c r="L1033" s="18"/>
      <c r="N1033" s="18"/>
      <c r="P1033" s="18"/>
      <c r="R1033" s="18"/>
      <c r="T1033" s="18"/>
      <c r="V1033" s="18"/>
      <c r="X1033" s="18"/>
      <c r="Z1033" s="18"/>
      <c r="AB1033" s="18"/>
      <c r="AD1033" s="18"/>
      <c r="AF1033" s="18"/>
      <c r="AH1033" s="18"/>
      <c r="AJ1033" s="18"/>
      <c r="AL1033" s="18"/>
      <c r="AN1033" s="18"/>
      <c r="AP1033" s="18"/>
      <c r="AR1033" s="18"/>
      <c r="AT1033" s="18"/>
      <c r="AV1033" s="18"/>
      <c r="AX1033" s="18"/>
      <c r="AZ1033" s="18"/>
      <c r="BB1033" s="18"/>
      <c r="BD1033" s="18"/>
      <c r="BF1033" s="18"/>
      <c r="BH1033" s="18"/>
      <c r="BJ1033" s="18"/>
      <c r="BL1033" s="18"/>
      <c r="BN1033" s="18"/>
    </row>
    <row r="1034" spans="8:67">
      <c r="J1034" s="18"/>
      <c r="K1034" s="18"/>
      <c r="L1034" s="18"/>
      <c r="M1034" s="18"/>
      <c r="N1034" s="18"/>
      <c r="O1034" s="18"/>
      <c r="P1034" s="18"/>
      <c r="Q1034" s="18"/>
      <c r="R1034" s="18"/>
      <c r="T1034" s="18"/>
      <c r="V1034" s="18"/>
      <c r="X1034" s="18"/>
      <c r="Z1034" s="18"/>
      <c r="AB1034" s="18"/>
      <c r="AD1034" s="18"/>
      <c r="AF1034" s="18"/>
      <c r="AH1034" s="18"/>
      <c r="AJ1034" s="18"/>
      <c r="AL1034" s="18"/>
      <c r="AN1034" s="18"/>
      <c r="AP1034" s="18"/>
      <c r="AR1034" s="18"/>
      <c r="AT1034" s="18"/>
      <c r="AV1034" s="18"/>
      <c r="AX1034" s="18"/>
      <c r="AZ1034" s="18"/>
      <c r="BB1034" s="18"/>
      <c r="BD1034" s="18"/>
      <c r="BF1034" s="18"/>
      <c r="BH1034" s="18"/>
      <c r="BJ1034" s="18"/>
      <c r="BL1034" s="18"/>
      <c r="BN1034" s="18"/>
    </row>
    <row r="1035" spans="8:67">
      <c r="J1035" s="19"/>
      <c r="K1035" s="18"/>
      <c r="L1035" s="19"/>
      <c r="M1035" s="18"/>
      <c r="N1035" s="19"/>
      <c r="O1035" s="18"/>
      <c r="P1035" s="19"/>
      <c r="Q1035" s="18"/>
      <c r="R1035" s="19"/>
      <c r="T1035" s="19"/>
      <c r="V1035" s="19"/>
      <c r="X1035" s="19"/>
      <c r="Z1035" s="19"/>
      <c r="AB1035" s="19"/>
      <c r="AD1035" s="19"/>
      <c r="AF1035" s="19"/>
      <c r="AH1035" s="19"/>
      <c r="AJ1035" s="19"/>
      <c r="AL1035" s="19"/>
      <c r="AN1035" s="19"/>
      <c r="AP1035" s="19"/>
      <c r="AR1035" s="19"/>
      <c r="AT1035" s="19"/>
      <c r="AV1035" s="19"/>
      <c r="AX1035" s="19"/>
      <c r="AZ1035" s="19"/>
      <c r="BB1035" s="19"/>
      <c r="BD1035" s="19"/>
      <c r="BF1035" s="19"/>
      <c r="BH1035" s="19"/>
      <c r="BJ1035" s="19"/>
      <c r="BL1035" s="19"/>
      <c r="BN1035" s="19"/>
    </row>
    <row r="1036" spans="8:67">
      <c r="J1036" s="19"/>
      <c r="K1036" s="19"/>
      <c r="L1036" s="19"/>
      <c r="M1036" s="19"/>
      <c r="N1036" s="19"/>
      <c r="O1036" s="19"/>
      <c r="P1036" s="19"/>
      <c r="Q1036" s="19"/>
      <c r="R1036" s="19"/>
      <c r="T1036" s="19"/>
      <c r="V1036" s="19"/>
      <c r="X1036" s="19"/>
      <c r="Z1036" s="19"/>
      <c r="AB1036" s="19"/>
      <c r="AD1036" s="19"/>
      <c r="AF1036" s="19"/>
      <c r="AH1036" s="19"/>
      <c r="AJ1036" s="19"/>
      <c r="AL1036" s="19"/>
      <c r="AN1036" s="19"/>
      <c r="AP1036" s="19"/>
      <c r="AR1036" s="19"/>
      <c r="AT1036" s="19"/>
      <c r="AV1036" s="19"/>
      <c r="AX1036" s="19"/>
      <c r="AZ1036" s="19"/>
      <c r="BB1036" s="19"/>
      <c r="BD1036" s="19"/>
      <c r="BF1036" s="19"/>
      <c r="BH1036" s="19"/>
      <c r="BJ1036" s="19"/>
      <c r="BL1036" s="19"/>
      <c r="BN1036" s="19"/>
    </row>
    <row r="1037" spans="8:67">
      <c r="J1037" s="19"/>
      <c r="K1037" s="19"/>
      <c r="L1037" s="19"/>
      <c r="M1037" s="19"/>
      <c r="N1037" s="19"/>
      <c r="O1037" s="19"/>
      <c r="P1037" s="19"/>
      <c r="Q1037" s="19"/>
      <c r="R1037" s="19"/>
      <c r="T1037" s="19"/>
      <c r="V1037" s="19"/>
      <c r="X1037" s="19"/>
      <c r="Z1037" s="19"/>
      <c r="AB1037" s="19"/>
      <c r="AD1037" s="19"/>
      <c r="AF1037" s="19"/>
      <c r="AH1037" s="19"/>
      <c r="AJ1037" s="19"/>
      <c r="AL1037" s="19"/>
      <c r="AN1037" s="19"/>
      <c r="AP1037" s="19"/>
      <c r="AR1037" s="19"/>
      <c r="AT1037" s="19"/>
      <c r="AV1037" s="19"/>
      <c r="AX1037" s="19"/>
      <c r="AZ1037" s="19"/>
      <c r="BB1037" s="19"/>
      <c r="BD1037" s="19"/>
      <c r="BF1037" s="19"/>
      <c r="BH1037" s="19"/>
      <c r="BJ1037" s="19"/>
      <c r="BL1037" s="19"/>
      <c r="BN1037" s="19"/>
    </row>
    <row r="1038" spans="8:67">
      <c r="K1038" s="18"/>
      <c r="L1038" s="18"/>
      <c r="M1038" s="18"/>
      <c r="N1038" s="18"/>
      <c r="O1038" s="18"/>
      <c r="P1038" s="18"/>
      <c r="Q1038" s="18"/>
      <c r="S1038" s="18"/>
      <c r="U1038" s="18"/>
      <c r="W1038" s="18"/>
      <c r="Y1038" s="18"/>
      <c r="AA1038" s="18"/>
      <c r="AC1038" s="18"/>
      <c r="AE1038" s="18"/>
      <c r="AG1038" s="18"/>
      <c r="AI1038" s="18"/>
      <c r="AK1038" s="18"/>
      <c r="AM1038" s="18"/>
      <c r="AO1038" s="18"/>
      <c r="AQ1038" s="18"/>
      <c r="AS1038" s="18"/>
      <c r="AU1038" s="18"/>
      <c r="AW1038" s="18"/>
      <c r="AY1038" s="18"/>
      <c r="BA1038" s="18"/>
      <c r="BC1038" s="18"/>
      <c r="BE1038" s="18"/>
      <c r="BG1038" s="18"/>
      <c r="BI1038" s="18"/>
      <c r="BK1038" s="18"/>
      <c r="BM1038" s="18"/>
      <c r="BO1038" s="18"/>
    </row>
    <row r="1039" spans="8:67">
      <c r="K1039" s="18"/>
      <c r="L1039" s="18"/>
      <c r="M1039" s="18"/>
      <c r="N1039" s="18"/>
      <c r="O1039" s="18"/>
      <c r="P1039" s="18"/>
      <c r="Q1039" s="18"/>
      <c r="S1039" s="18"/>
      <c r="U1039" s="18"/>
      <c r="W1039" s="18"/>
      <c r="Y1039" s="18"/>
      <c r="AA1039" s="18"/>
      <c r="AC1039" s="18"/>
      <c r="AE1039" s="18"/>
      <c r="AG1039" s="18"/>
      <c r="AI1039" s="18"/>
      <c r="AK1039" s="18"/>
      <c r="AM1039" s="18"/>
      <c r="AO1039" s="18"/>
      <c r="AQ1039" s="18"/>
      <c r="AS1039" s="18"/>
      <c r="AU1039" s="18"/>
      <c r="AW1039" s="18"/>
      <c r="AY1039" s="18"/>
      <c r="BA1039" s="18"/>
      <c r="BC1039" s="18"/>
      <c r="BE1039" s="18"/>
      <c r="BG1039" s="18"/>
      <c r="BI1039" s="18"/>
      <c r="BK1039" s="18"/>
      <c r="BM1039" s="18"/>
      <c r="BO1039" s="18"/>
    </row>
    <row r="1040" spans="8:67">
      <c r="K1040" s="19"/>
      <c r="L1040" s="19"/>
      <c r="M1040" s="19"/>
      <c r="N1040" s="19"/>
      <c r="O1040" s="19"/>
      <c r="P1040" s="19"/>
      <c r="Q1040" s="19"/>
      <c r="S1040" s="19"/>
      <c r="U1040" s="19"/>
      <c r="W1040" s="19"/>
      <c r="Y1040" s="19"/>
      <c r="AA1040" s="19"/>
      <c r="AC1040" s="19"/>
      <c r="AE1040" s="19"/>
      <c r="AG1040" s="19"/>
      <c r="AI1040" s="19"/>
      <c r="AK1040" s="19"/>
      <c r="AM1040" s="19"/>
      <c r="AO1040" s="19"/>
      <c r="AQ1040" s="19"/>
      <c r="AS1040" s="19"/>
      <c r="AU1040" s="19"/>
      <c r="AW1040" s="19"/>
      <c r="AY1040" s="19"/>
      <c r="BA1040" s="19"/>
      <c r="BC1040" s="19"/>
      <c r="BE1040" s="19"/>
      <c r="BG1040" s="19"/>
      <c r="BI1040" s="19"/>
      <c r="BK1040" s="19"/>
      <c r="BM1040" s="19"/>
      <c r="BO1040" s="19"/>
    </row>
    <row r="1041" spans="11:67">
      <c r="K1041" s="19"/>
      <c r="L1041" s="19"/>
      <c r="M1041" s="19"/>
      <c r="N1041" s="19"/>
      <c r="O1041" s="19"/>
      <c r="P1041" s="19"/>
      <c r="Q1041" s="19"/>
      <c r="S1041" s="19"/>
      <c r="U1041" s="19"/>
      <c r="W1041" s="19"/>
      <c r="Y1041" s="19"/>
      <c r="AA1041" s="19"/>
      <c r="AC1041" s="19"/>
      <c r="AE1041" s="19"/>
      <c r="AG1041" s="19"/>
      <c r="AI1041" s="19"/>
      <c r="AK1041" s="19"/>
      <c r="AM1041" s="19"/>
      <c r="AO1041" s="19"/>
      <c r="AQ1041" s="19"/>
      <c r="AS1041" s="19"/>
      <c r="AU1041" s="19"/>
      <c r="AW1041" s="19"/>
      <c r="AY1041" s="19"/>
      <c r="BA1041" s="19"/>
      <c r="BC1041" s="19"/>
      <c r="BE1041" s="19"/>
      <c r="BG1041" s="19"/>
      <c r="BI1041" s="19"/>
      <c r="BK1041" s="19"/>
      <c r="BM1041" s="19"/>
      <c r="BO1041" s="19"/>
    </row>
    <row r="1042" spans="11:67">
      <c r="K1042" s="19"/>
      <c r="M1042" s="19"/>
      <c r="O1042" s="19"/>
      <c r="Q1042" s="19"/>
      <c r="S1042" s="19"/>
      <c r="U1042" s="19"/>
      <c r="W1042" s="19"/>
      <c r="Y1042" s="19"/>
      <c r="AA1042" s="19"/>
      <c r="AC1042" s="19"/>
      <c r="AE1042" s="19"/>
      <c r="AG1042" s="19"/>
      <c r="AI1042" s="19"/>
      <c r="AK1042" s="19"/>
      <c r="AM1042" s="19"/>
      <c r="AO1042" s="19"/>
      <c r="AQ1042" s="19"/>
      <c r="AS1042" s="19"/>
      <c r="AU1042" s="19"/>
      <c r="AW1042" s="19"/>
      <c r="AY1042" s="19"/>
      <c r="BA1042" s="19"/>
      <c r="BC1042" s="19"/>
      <c r="BE1042" s="19"/>
      <c r="BG1042" s="19"/>
      <c r="BI1042" s="19"/>
      <c r="BK1042" s="19"/>
      <c r="BM1042" s="19"/>
      <c r="BO1042" s="19"/>
    </row>
    <row r="1043" spans="11:67">
      <c r="L1043" s="18"/>
      <c r="M1043" s="18"/>
      <c r="N1043" s="18"/>
      <c r="O1043" s="18"/>
      <c r="P1043" s="18"/>
      <c r="Q1043" s="18"/>
      <c r="R1043" s="18"/>
      <c r="T1043" s="18"/>
      <c r="V1043" s="18"/>
      <c r="X1043" s="18"/>
      <c r="Z1043" s="18"/>
      <c r="AB1043" s="18"/>
      <c r="AD1043" s="18"/>
      <c r="AF1043" s="18"/>
      <c r="AH1043" s="18"/>
      <c r="AJ1043" s="18"/>
      <c r="AL1043" s="18"/>
      <c r="AN1043" s="18"/>
      <c r="AP1043" s="18"/>
      <c r="AR1043" s="18"/>
      <c r="AT1043" s="18"/>
      <c r="AV1043" s="18"/>
      <c r="AX1043" s="18"/>
      <c r="AZ1043" s="18"/>
      <c r="BB1043" s="18"/>
      <c r="BD1043" s="18"/>
      <c r="BF1043" s="18"/>
      <c r="BH1043" s="18"/>
      <c r="BJ1043" s="18"/>
      <c r="BL1043" s="18"/>
      <c r="BN1043" s="18"/>
    </row>
    <row r="1044" spans="11:67">
      <c r="L1044" s="18"/>
      <c r="M1044" s="19"/>
      <c r="N1044" s="18"/>
      <c r="O1044" s="19"/>
      <c r="P1044" s="18"/>
      <c r="Q1044" s="19"/>
      <c r="R1044" s="18"/>
      <c r="T1044" s="18"/>
      <c r="V1044" s="18"/>
      <c r="X1044" s="18"/>
      <c r="Z1044" s="18"/>
      <c r="AB1044" s="18"/>
      <c r="AD1044" s="18"/>
      <c r="AF1044" s="18"/>
      <c r="AH1044" s="18"/>
      <c r="AJ1044" s="18"/>
      <c r="AL1044" s="18"/>
      <c r="AN1044" s="18"/>
      <c r="AP1044" s="18"/>
      <c r="AR1044" s="18"/>
      <c r="AT1044" s="18"/>
      <c r="AV1044" s="18"/>
      <c r="AX1044" s="18"/>
      <c r="AZ1044" s="18"/>
      <c r="BB1044" s="18"/>
      <c r="BD1044" s="18"/>
      <c r="BF1044" s="18"/>
      <c r="BH1044" s="18"/>
      <c r="BJ1044" s="18"/>
      <c r="BL1044" s="18"/>
      <c r="BN1044" s="18"/>
    </row>
    <row r="1045" spans="11:67">
      <c r="L1045" s="19"/>
      <c r="M1045" s="19"/>
      <c r="N1045" s="19"/>
      <c r="O1045" s="19"/>
      <c r="P1045" s="19"/>
      <c r="Q1045" s="19"/>
      <c r="R1045" s="19"/>
      <c r="T1045" s="19"/>
      <c r="V1045" s="19"/>
      <c r="X1045" s="19"/>
      <c r="Z1045" s="19"/>
      <c r="AB1045" s="19"/>
      <c r="AD1045" s="19"/>
      <c r="AF1045" s="19"/>
      <c r="AH1045" s="19"/>
      <c r="AJ1045" s="19"/>
      <c r="AL1045" s="19"/>
      <c r="AN1045" s="19"/>
      <c r="AP1045" s="19"/>
      <c r="AR1045" s="19"/>
      <c r="AT1045" s="19"/>
      <c r="AV1045" s="19"/>
      <c r="AX1045" s="19"/>
      <c r="AZ1045" s="19"/>
      <c r="BB1045" s="19"/>
      <c r="BD1045" s="19"/>
      <c r="BF1045" s="19"/>
      <c r="BH1045" s="19"/>
      <c r="BJ1045" s="19"/>
      <c r="BL1045" s="19"/>
      <c r="BN1045" s="19"/>
    </row>
    <row r="1046" spans="11:67">
      <c r="L1046" s="19"/>
      <c r="N1046" s="19"/>
      <c r="P1046" s="19"/>
      <c r="R1046" s="19"/>
      <c r="T1046" s="19"/>
      <c r="V1046" s="19"/>
      <c r="X1046" s="19"/>
      <c r="Z1046" s="19"/>
      <c r="AB1046" s="19"/>
      <c r="AD1046" s="19"/>
      <c r="AF1046" s="19"/>
      <c r="AH1046" s="19"/>
      <c r="AJ1046" s="19"/>
      <c r="AL1046" s="19"/>
      <c r="AN1046" s="19"/>
      <c r="AP1046" s="19"/>
      <c r="AR1046" s="19"/>
      <c r="AT1046" s="19"/>
      <c r="AV1046" s="19"/>
      <c r="AX1046" s="19"/>
      <c r="AZ1046" s="19"/>
      <c r="BB1046" s="19"/>
      <c r="BD1046" s="19"/>
      <c r="BF1046" s="19"/>
      <c r="BH1046" s="19"/>
      <c r="BJ1046" s="19"/>
      <c r="BL1046" s="19"/>
      <c r="BN1046" s="19"/>
    </row>
    <row r="1047" spans="11:67">
      <c r="L1047" s="19"/>
      <c r="N1047" s="19"/>
      <c r="P1047" s="19"/>
      <c r="R1047" s="19"/>
      <c r="T1047" s="19"/>
      <c r="V1047" s="19"/>
      <c r="X1047" s="19"/>
      <c r="Z1047" s="19"/>
      <c r="AB1047" s="19"/>
      <c r="AD1047" s="19"/>
      <c r="AF1047" s="19"/>
      <c r="AH1047" s="19"/>
      <c r="AJ1047" s="19"/>
      <c r="AL1047" s="19"/>
      <c r="AN1047" s="19"/>
      <c r="AP1047" s="19"/>
      <c r="AR1047" s="19"/>
      <c r="AT1047" s="19"/>
      <c r="AV1047" s="19"/>
      <c r="AX1047" s="19"/>
      <c r="AZ1047" s="19"/>
      <c r="BB1047" s="19"/>
      <c r="BD1047" s="19"/>
      <c r="BF1047" s="19"/>
      <c r="BH1047" s="19"/>
      <c r="BJ1047" s="19"/>
      <c r="BL1047" s="19"/>
      <c r="BN1047" s="19"/>
    </row>
    <row r="1048" spans="11:67">
      <c r="M1048" s="18"/>
      <c r="N1048" s="19"/>
      <c r="O1048" s="18"/>
      <c r="P1048" s="19"/>
      <c r="Q1048" s="18"/>
      <c r="S1048" s="18"/>
      <c r="U1048" s="18"/>
      <c r="W1048" s="18"/>
      <c r="Y1048" s="18"/>
      <c r="AA1048" s="18"/>
      <c r="AC1048" s="18"/>
      <c r="AE1048" s="18"/>
      <c r="AG1048" s="18"/>
      <c r="AI1048" s="18"/>
      <c r="AK1048" s="18"/>
      <c r="AM1048" s="18"/>
      <c r="AO1048" s="18"/>
      <c r="AQ1048" s="18"/>
      <c r="AS1048" s="18"/>
      <c r="AU1048" s="18"/>
      <c r="AW1048" s="18"/>
      <c r="AY1048" s="18"/>
      <c r="BA1048" s="18"/>
      <c r="BC1048" s="18"/>
      <c r="BE1048" s="18"/>
      <c r="BG1048" s="18"/>
      <c r="BI1048" s="18"/>
      <c r="BK1048" s="18"/>
      <c r="BM1048" s="18"/>
      <c r="BO1048" s="18"/>
    </row>
    <row r="1049" spans="11:67">
      <c r="M1049" s="18"/>
      <c r="N1049" s="19"/>
      <c r="O1049" s="18"/>
      <c r="P1049" s="19"/>
      <c r="Q1049" s="18"/>
      <c r="S1049" s="18"/>
      <c r="U1049" s="18"/>
      <c r="W1049" s="18"/>
      <c r="Y1049" s="18"/>
      <c r="AA1049" s="18"/>
      <c r="AC1049" s="18"/>
      <c r="AE1049" s="18"/>
      <c r="AG1049" s="18"/>
      <c r="AI1049" s="18"/>
      <c r="AK1049" s="18"/>
      <c r="AM1049" s="18"/>
      <c r="AO1049" s="18"/>
      <c r="AQ1049" s="18"/>
      <c r="AS1049" s="18"/>
      <c r="AU1049" s="18"/>
      <c r="AW1049" s="18"/>
      <c r="AY1049" s="18"/>
      <c r="BA1049" s="18"/>
      <c r="BC1049" s="18"/>
      <c r="BE1049" s="18"/>
      <c r="BG1049" s="18"/>
      <c r="BI1049" s="18"/>
      <c r="BK1049" s="18"/>
      <c r="BM1049" s="18"/>
      <c r="BO1049" s="18"/>
    </row>
    <row r="1050" spans="11:67">
      <c r="M1050" s="19"/>
      <c r="O1050" s="19"/>
      <c r="Q1050" s="19"/>
      <c r="S1050" s="19"/>
      <c r="U1050" s="19"/>
      <c r="W1050" s="19"/>
      <c r="Y1050" s="19"/>
      <c r="AA1050" s="19"/>
      <c r="AC1050" s="19"/>
      <c r="AE1050" s="19"/>
      <c r="AG1050" s="19"/>
      <c r="AI1050" s="19"/>
      <c r="AK1050" s="19"/>
      <c r="AM1050" s="19"/>
      <c r="AO1050" s="19"/>
      <c r="AQ1050" s="19"/>
      <c r="AS1050" s="19"/>
      <c r="AU1050" s="19"/>
      <c r="AW1050" s="19"/>
      <c r="AY1050" s="19"/>
      <c r="BA1050" s="19"/>
      <c r="BC1050" s="19"/>
      <c r="BE1050" s="19"/>
      <c r="BG1050" s="19"/>
      <c r="BI1050" s="19"/>
      <c r="BK1050" s="19"/>
      <c r="BM1050" s="19"/>
      <c r="BO1050" s="19"/>
    </row>
    <row r="1051" spans="11:67">
      <c r="M1051" s="19"/>
      <c r="O1051" s="19"/>
      <c r="Q1051" s="19"/>
      <c r="S1051" s="19"/>
      <c r="U1051" s="19"/>
      <c r="W1051" s="19"/>
      <c r="Y1051" s="19"/>
      <c r="AA1051" s="19"/>
      <c r="AC1051" s="19"/>
      <c r="AE1051" s="19"/>
      <c r="AG1051" s="19"/>
      <c r="AI1051" s="19"/>
      <c r="AK1051" s="19"/>
      <c r="AM1051" s="19"/>
      <c r="AO1051" s="19"/>
      <c r="AQ1051" s="19"/>
      <c r="AS1051" s="19"/>
      <c r="AU1051" s="19"/>
      <c r="AW1051" s="19"/>
      <c r="AY1051" s="19"/>
      <c r="BA1051" s="19"/>
      <c r="BC1051" s="19"/>
      <c r="BE1051" s="19"/>
      <c r="BG1051" s="19"/>
      <c r="BI1051" s="19"/>
      <c r="BK1051" s="19"/>
      <c r="BM1051" s="19"/>
      <c r="BO1051" s="19"/>
    </row>
    <row r="1052" spans="11:67">
      <c r="M1052" s="19"/>
      <c r="O1052" s="19"/>
      <c r="Q1052" s="19"/>
      <c r="S1052" s="19"/>
      <c r="U1052" s="19"/>
      <c r="W1052" s="19"/>
      <c r="Y1052" s="19"/>
      <c r="AA1052" s="19"/>
      <c r="AC1052" s="19"/>
      <c r="AE1052" s="19"/>
      <c r="AG1052" s="19"/>
      <c r="AI1052" s="19"/>
      <c r="AK1052" s="19"/>
      <c r="AM1052" s="19"/>
      <c r="AO1052" s="19"/>
      <c r="AQ1052" s="19"/>
      <c r="AS1052" s="19"/>
      <c r="AU1052" s="19"/>
      <c r="AW1052" s="19"/>
      <c r="AY1052" s="19"/>
      <c r="BA1052" s="19"/>
      <c r="BC1052" s="19"/>
      <c r="BE1052" s="19"/>
      <c r="BG1052" s="19"/>
      <c r="BI1052" s="19"/>
      <c r="BK1052" s="19"/>
      <c r="BM1052" s="19"/>
      <c r="BO1052" s="19"/>
    </row>
    <row r="1053" spans="11:67">
      <c r="N1053" s="18"/>
      <c r="O1053" s="19"/>
      <c r="P1053" s="18"/>
      <c r="Q1053" s="19"/>
      <c r="R1053" s="18"/>
      <c r="T1053" s="18"/>
      <c r="V1053" s="18"/>
      <c r="X1053" s="18"/>
      <c r="Z1053" s="18"/>
      <c r="AB1053" s="18"/>
      <c r="AD1053" s="18"/>
      <c r="AF1053" s="18"/>
      <c r="AH1053" s="18"/>
      <c r="AJ1053" s="18"/>
      <c r="AL1053" s="18"/>
      <c r="AN1053" s="18"/>
      <c r="AP1053" s="18"/>
      <c r="AR1053" s="18"/>
      <c r="AT1053" s="18"/>
      <c r="AV1053" s="18"/>
      <c r="AX1053" s="18"/>
      <c r="AZ1053" s="18"/>
      <c r="BB1053" s="18"/>
      <c r="BD1053" s="18"/>
      <c r="BF1053" s="18"/>
      <c r="BH1053" s="18"/>
      <c r="BJ1053" s="18"/>
      <c r="BL1053" s="18"/>
      <c r="BN1053" s="18"/>
    </row>
    <row r="1054" spans="11:67">
      <c r="N1054" s="18"/>
      <c r="P1054" s="18"/>
      <c r="R1054" s="18"/>
      <c r="T1054" s="18"/>
      <c r="V1054" s="18"/>
      <c r="X1054" s="18"/>
      <c r="Z1054" s="18"/>
      <c r="AB1054" s="18"/>
      <c r="AD1054" s="18"/>
      <c r="AF1054" s="18"/>
      <c r="AH1054" s="18"/>
      <c r="AJ1054" s="18"/>
      <c r="AL1054" s="18"/>
      <c r="AN1054" s="18"/>
      <c r="AP1054" s="18"/>
      <c r="AR1054" s="18"/>
      <c r="AT1054" s="18"/>
      <c r="AV1054" s="18"/>
      <c r="AX1054" s="18"/>
      <c r="AZ1054" s="18"/>
      <c r="BB1054" s="18"/>
      <c r="BD1054" s="18"/>
      <c r="BF1054" s="18"/>
      <c r="BH1054" s="18"/>
      <c r="BJ1054" s="18"/>
      <c r="BL1054" s="18"/>
      <c r="BN1054" s="18"/>
    </row>
    <row r="1055" spans="11:67">
      <c r="N1055" s="19"/>
      <c r="P1055" s="19"/>
      <c r="R1055" s="19"/>
      <c r="T1055" s="19"/>
      <c r="V1055" s="19"/>
      <c r="X1055" s="19"/>
      <c r="Z1055" s="19"/>
      <c r="AB1055" s="19"/>
      <c r="AD1055" s="19"/>
      <c r="AF1055" s="19"/>
      <c r="AH1055" s="19"/>
      <c r="AJ1055" s="19"/>
      <c r="AL1055" s="19"/>
      <c r="AN1055" s="19"/>
      <c r="AP1055" s="19"/>
      <c r="AR1055" s="19"/>
      <c r="AT1055" s="19"/>
      <c r="AV1055" s="19"/>
      <c r="AX1055" s="19"/>
      <c r="AZ1055" s="19"/>
      <c r="BB1055" s="19"/>
      <c r="BD1055" s="19"/>
      <c r="BF1055" s="19"/>
      <c r="BH1055" s="19"/>
      <c r="BJ1055" s="19"/>
      <c r="BL1055" s="19"/>
      <c r="BN1055" s="19"/>
    </row>
    <row r="1056" spans="11:67">
      <c r="N1056" s="19"/>
      <c r="P1056" s="19"/>
      <c r="R1056" s="19"/>
      <c r="T1056" s="19"/>
      <c r="V1056" s="19"/>
      <c r="X1056" s="19"/>
      <c r="Z1056" s="19"/>
      <c r="AB1056" s="19"/>
      <c r="AD1056" s="19"/>
      <c r="AF1056" s="19"/>
      <c r="AH1056" s="19"/>
      <c r="AJ1056" s="19"/>
      <c r="AL1056" s="19"/>
      <c r="AN1056" s="19"/>
      <c r="AP1056" s="19"/>
      <c r="AR1056" s="19"/>
      <c r="AT1056" s="19"/>
      <c r="AV1056" s="19"/>
      <c r="AX1056" s="19"/>
      <c r="AZ1056" s="19"/>
      <c r="BB1056" s="19"/>
      <c r="BD1056" s="19"/>
      <c r="BF1056" s="19"/>
      <c r="BH1056" s="19"/>
      <c r="BJ1056" s="19"/>
      <c r="BL1056" s="19"/>
      <c r="BN1056" s="19"/>
    </row>
    <row r="1057" spans="14:67">
      <c r="N1057" s="19"/>
      <c r="P1057" s="19"/>
      <c r="R1057" s="19"/>
      <c r="T1057" s="19"/>
      <c r="V1057" s="19"/>
      <c r="X1057" s="19"/>
      <c r="Z1057" s="19"/>
      <c r="AB1057" s="19"/>
      <c r="AD1057" s="19"/>
      <c r="AF1057" s="19"/>
      <c r="AH1057" s="19"/>
      <c r="AJ1057" s="19"/>
      <c r="AL1057" s="19"/>
      <c r="AN1057" s="19"/>
      <c r="AP1057" s="19"/>
      <c r="AR1057" s="19"/>
      <c r="AT1057" s="19"/>
      <c r="AV1057" s="19"/>
      <c r="AX1057" s="19"/>
      <c r="AZ1057" s="19"/>
      <c r="BB1057" s="19"/>
      <c r="BD1057" s="19"/>
      <c r="BF1057" s="19"/>
      <c r="BH1057" s="19"/>
      <c r="BJ1057" s="19"/>
      <c r="BL1057" s="19"/>
      <c r="BN1057" s="19"/>
    </row>
    <row r="1058" spans="14:67">
      <c r="O1058" s="18"/>
      <c r="Q1058" s="18"/>
      <c r="S1058" s="18"/>
      <c r="U1058" s="18"/>
      <c r="W1058" s="18"/>
      <c r="Y1058" s="18"/>
      <c r="AA1058" s="18"/>
      <c r="AC1058" s="18"/>
      <c r="AE1058" s="18"/>
      <c r="AG1058" s="18"/>
      <c r="AI1058" s="18"/>
      <c r="AK1058" s="18"/>
      <c r="AM1058" s="18"/>
      <c r="AO1058" s="18"/>
      <c r="AQ1058" s="18"/>
      <c r="AS1058" s="18"/>
      <c r="AU1058" s="18"/>
      <c r="AW1058" s="18"/>
      <c r="AY1058" s="18"/>
      <c r="BA1058" s="18"/>
      <c r="BC1058" s="18"/>
      <c r="BE1058" s="18"/>
      <c r="BG1058" s="18"/>
      <c r="BI1058" s="18"/>
      <c r="BK1058" s="18"/>
      <c r="BM1058" s="18"/>
      <c r="BO1058" s="18"/>
    </row>
    <row r="1059" spans="14:67">
      <c r="O1059" s="18"/>
      <c r="Q1059" s="18"/>
      <c r="S1059" s="18"/>
      <c r="U1059" s="18"/>
      <c r="W1059" s="18"/>
      <c r="Y1059" s="18"/>
      <c r="AA1059" s="18"/>
      <c r="AC1059" s="18"/>
      <c r="AE1059" s="18"/>
      <c r="AG1059" s="18"/>
      <c r="AI1059" s="18"/>
      <c r="AK1059" s="18"/>
      <c r="AM1059" s="18"/>
      <c r="AO1059" s="18"/>
      <c r="AQ1059" s="18"/>
      <c r="AS1059" s="18"/>
      <c r="AU1059" s="18"/>
      <c r="AW1059" s="18"/>
      <c r="AY1059" s="18"/>
      <c r="BA1059" s="18"/>
      <c r="BC1059" s="18"/>
      <c r="BE1059" s="18"/>
      <c r="BG1059" s="18"/>
      <c r="BI1059" s="18"/>
      <c r="BK1059" s="18"/>
      <c r="BM1059" s="18"/>
      <c r="BO1059" s="18"/>
    </row>
    <row r="1060" spans="14:67">
      <c r="O1060" s="19"/>
      <c r="Q1060" s="19"/>
      <c r="S1060" s="19"/>
      <c r="U1060" s="19"/>
      <c r="W1060" s="19"/>
      <c r="Y1060" s="19"/>
      <c r="AA1060" s="19"/>
      <c r="AC1060" s="19"/>
      <c r="AE1060" s="19"/>
      <c r="AG1060" s="19"/>
      <c r="AI1060" s="19"/>
      <c r="AK1060" s="19"/>
      <c r="AM1060" s="19"/>
      <c r="AO1060" s="19"/>
      <c r="AQ1060" s="19"/>
      <c r="AS1060" s="19"/>
      <c r="AU1060" s="19"/>
      <c r="AW1060" s="19"/>
      <c r="AY1060" s="19"/>
      <c r="BA1060" s="19"/>
      <c r="BC1060" s="19"/>
      <c r="BE1060" s="19"/>
      <c r="BG1060" s="19"/>
      <c r="BI1060" s="19"/>
      <c r="BK1060" s="19"/>
      <c r="BM1060" s="19"/>
      <c r="BO1060" s="19"/>
    </row>
    <row r="1061" spans="14:67">
      <c r="O1061" s="19"/>
      <c r="Q1061" s="19"/>
      <c r="S1061" s="19"/>
      <c r="U1061" s="19"/>
      <c r="W1061" s="19"/>
      <c r="Y1061" s="19"/>
      <c r="AA1061" s="19"/>
      <c r="AC1061" s="19"/>
      <c r="AE1061" s="19"/>
      <c r="AG1061" s="19"/>
      <c r="AI1061" s="19"/>
      <c r="AK1061" s="19"/>
      <c r="AM1061" s="19"/>
      <c r="AO1061" s="19"/>
      <c r="AQ1061" s="19"/>
      <c r="AS1061" s="19"/>
      <c r="AU1061" s="19"/>
      <c r="AW1061" s="19"/>
      <c r="AY1061" s="19"/>
      <c r="BA1061" s="19"/>
      <c r="BC1061" s="19"/>
      <c r="BE1061" s="19"/>
      <c r="BG1061" s="19"/>
      <c r="BI1061" s="19"/>
      <c r="BK1061" s="19"/>
      <c r="BM1061" s="19"/>
      <c r="BO1061" s="19"/>
    </row>
    <row r="1062" spans="14:67">
      <c r="O1062" s="19"/>
      <c r="Q1062" s="19"/>
      <c r="S1062" s="19"/>
      <c r="U1062" s="19"/>
      <c r="W1062" s="19"/>
      <c r="Y1062" s="19"/>
      <c r="AA1062" s="19"/>
      <c r="AC1062" s="19"/>
      <c r="AE1062" s="19"/>
      <c r="AG1062" s="19"/>
      <c r="AI1062" s="19"/>
      <c r="AK1062" s="19"/>
      <c r="AM1062" s="19"/>
      <c r="AO1062" s="19"/>
      <c r="AQ1062" s="19"/>
      <c r="AS1062" s="19"/>
      <c r="AU1062" s="19"/>
      <c r="AW1062" s="19"/>
      <c r="AY1062" s="19"/>
      <c r="BA1062" s="19"/>
      <c r="BC1062" s="19"/>
      <c r="BE1062" s="19"/>
      <c r="BG1062" s="19"/>
      <c r="BI1062" s="19"/>
      <c r="BK1062" s="19"/>
      <c r="BM1062" s="19"/>
      <c r="BO1062" s="19"/>
    </row>
    <row r="1063" spans="14:67">
      <c r="P1063" s="18"/>
      <c r="R1063" s="18"/>
      <c r="T1063" s="18"/>
      <c r="V1063" s="18"/>
      <c r="X1063" s="18"/>
      <c r="Z1063" s="18"/>
      <c r="AB1063" s="18"/>
      <c r="AD1063" s="18"/>
      <c r="AF1063" s="18"/>
      <c r="AH1063" s="18"/>
      <c r="AJ1063" s="18"/>
      <c r="AL1063" s="18"/>
      <c r="AN1063" s="18"/>
      <c r="AP1063" s="18"/>
      <c r="AR1063" s="18"/>
      <c r="AT1063" s="18"/>
      <c r="AV1063" s="18"/>
      <c r="AX1063" s="18"/>
      <c r="AZ1063" s="18"/>
      <c r="BB1063" s="18"/>
      <c r="BD1063" s="18"/>
      <c r="BF1063" s="18"/>
      <c r="BH1063" s="18"/>
      <c r="BJ1063" s="18"/>
      <c r="BL1063" s="18"/>
      <c r="BN1063" s="18"/>
    </row>
    <row r="1064" spans="14:67">
      <c r="P1064" s="18"/>
      <c r="R1064" s="18"/>
      <c r="T1064" s="18"/>
      <c r="V1064" s="18"/>
      <c r="X1064" s="18"/>
      <c r="Z1064" s="18"/>
      <c r="AB1064" s="18"/>
      <c r="AD1064" s="18"/>
      <c r="AF1064" s="18"/>
      <c r="AH1064" s="18"/>
      <c r="AJ1064" s="18"/>
      <c r="AL1064" s="18"/>
      <c r="AN1064" s="18"/>
      <c r="AP1064" s="18"/>
      <c r="AR1064" s="18"/>
      <c r="AT1064" s="18"/>
      <c r="AV1064" s="18"/>
      <c r="AX1064" s="18"/>
      <c r="AZ1064" s="18"/>
      <c r="BB1064" s="18"/>
      <c r="BD1064" s="18"/>
      <c r="BF1064" s="18"/>
      <c r="BH1064" s="18"/>
      <c r="BJ1064" s="18"/>
      <c r="BL1064" s="18"/>
      <c r="BN1064" s="18"/>
    </row>
    <row r="1065" spans="14:67">
      <c r="P1065" s="19"/>
      <c r="R1065" s="19"/>
      <c r="T1065" s="19"/>
      <c r="V1065" s="19"/>
      <c r="X1065" s="19"/>
      <c r="Z1065" s="19"/>
      <c r="AB1065" s="19"/>
      <c r="AD1065" s="19"/>
      <c r="AF1065" s="19"/>
      <c r="AH1065" s="19"/>
      <c r="AJ1065" s="19"/>
      <c r="AL1065" s="19"/>
      <c r="AN1065" s="19"/>
      <c r="AP1065" s="19"/>
      <c r="AR1065" s="19"/>
      <c r="AT1065" s="19"/>
      <c r="AV1065" s="19"/>
      <c r="AX1065" s="19"/>
      <c r="AZ1065" s="19"/>
      <c r="BB1065" s="19"/>
      <c r="BD1065" s="19"/>
      <c r="BF1065" s="19"/>
      <c r="BH1065" s="19"/>
      <c r="BJ1065" s="19"/>
      <c r="BL1065" s="19"/>
      <c r="BN1065" s="19"/>
    </row>
    <row r="1066" spans="14:67">
      <c r="P1066" s="19"/>
      <c r="R1066" s="19"/>
      <c r="T1066" s="19"/>
      <c r="V1066" s="19"/>
      <c r="X1066" s="19"/>
      <c r="Z1066" s="19"/>
      <c r="AB1066" s="19"/>
      <c r="AD1066" s="19"/>
      <c r="AF1066" s="19"/>
      <c r="AH1066" s="19"/>
      <c r="AJ1066" s="19"/>
      <c r="AL1066" s="19"/>
      <c r="AN1066" s="19"/>
      <c r="AP1066" s="19"/>
      <c r="AR1066" s="19"/>
      <c r="AT1066" s="19"/>
      <c r="AV1066" s="19"/>
      <c r="AX1066" s="19"/>
      <c r="AZ1066" s="19"/>
      <c r="BB1066" s="19"/>
      <c r="BD1066" s="19"/>
      <c r="BF1066" s="19"/>
      <c r="BH1066" s="19"/>
      <c r="BJ1066" s="19"/>
      <c r="BL1066" s="19"/>
      <c r="BN1066" s="19"/>
    </row>
    <row r="1067" spans="14:67">
      <c r="P1067" s="19"/>
      <c r="R1067" s="19"/>
      <c r="T1067" s="19"/>
      <c r="V1067" s="19"/>
      <c r="X1067" s="19"/>
      <c r="Z1067" s="19"/>
      <c r="AB1067" s="19"/>
      <c r="AD1067" s="19"/>
      <c r="AF1067" s="19"/>
      <c r="AH1067" s="19"/>
      <c r="AJ1067" s="19"/>
      <c r="AL1067" s="19"/>
      <c r="AN1067" s="19"/>
      <c r="AP1067" s="19"/>
      <c r="AR1067" s="19"/>
      <c r="AT1067" s="19"/>
      <c r="AV1067" s="19"/>
      <c r="AX1067" s="19"/>
      <c r="AZ1067" s="19"/>
      <c r="BB1067" s="19"/>
      <c r="BD1067" s="19"/>
      <c r="BF1067" s="19"/>
      <c r="BH1067" s="19"/>
      <c r="BJ1067" s="19"/>
      <c r="BL1067" s="19"/>
      <c r="BN1067" s="19"/>
    </row>
    <row r="1068" spans="14:67">
      <c r="Q1068" s="18"/>
      <c r="S1068" s="18"/>
      <c r="U1068" s="18"/>
      <c r="W1068" s="18"/>
      <c r="Y1068" s="18"/>
      <c r="AA1068" s="18"/>
      <c r="AC1068" s="18"/>
      <c r="AE1068" s="18"/>
      <c r="AG1068" s="18"/>
      <c r="AI1068" s="18"/>
      <c r="AK1068" s="18"/>
      <c r="AM1068" s="18"/>
      <c r="AO1068" s="18"/>
      <c r="AQ1068" s="18"/>
      <c r="AS1068" s="18"/>
      <c r="AU1068" s="18"/>
      <c r="AW1068" s="18"/>
      <c r="AY1068" s="18"/>
      <c r="BA1068" s="18"/>
      <c r="BC1068" s="18"/>
      <c r="BE1068" s="18"/>
      <c r="BG1068" s="18"/>
      <c r="BI1068" s="18"/>
      <c r="BK1068" s="18"/>
      <c r="BM1068" s="18"/>
      <c r="BO1068" s="18"/>
    </row>
    <row r="1069" spans="14:67">
      <c r="Q1069" s="18"/>
      <c r="S1069" s="18"/>
      <c r="U1069" s="18"/>
      <c r="W1069" s="18"/>
      <c r="Y1069" s="18"/>
      <c r="AA1069" s="18"/>
      <c r="AC1069" s="18"/>
      <c r="AE1069" s="18"/>
      <c r="AG1069" s="18"/>
      <c r="AI1069" s="18"/>
      <c r="AK1069" s="18"/>
      <c r="AM1069" s="18"/>
      <c r="AO1069" s="18"/>
      <c r="AQ1069" s="18"/>
      <c r="AS1069" s="18"/>
      <c r="AU1069" s="18"/>
      <c r="AW1069" s="18"/>
      <c r="AY1069" s="18"/>
      <c r="BA1069" s="18"/>
      <c r="BC1069" s="18"/>
      <c r="BE1069" s="18"/>
      <c r="BG1069" s="18"/>
      <c r="BI1069" s="18"/>
      <c r="BK1069" s="18"/>
      <c r="BM1069" s="18"/>
      <c r="BO1069" s="18"/>
    </row>
    <row r="1070" spans="14:67">
      <c r="Q1070" s="19"/>
      <c r="S1070" s="19"/>
      <c r="U1070" s="19"/>
      <c r="W1070" s="19"/>
      <c r="Y1070" s="19"/>
      <c r="AA1070" s="19"/>
      <c r="AC1070" s="19"/>
      <c r="AE1070" s="19"/>
      <c r="AG1070" s="19"/>
      <c r="AI1070" s="19"/>
      <c r="AK1070" s="19"/>
      <c r="AM1070" s="19"/>
      <c r="AO1070" s="19"/>
      <c r="AQ1070" s="19"/>
      <c r="AS1070" s="19"/>
      <c r="AU1070" s="19"/>
      <c r="AW1070" s="19"/>
      <c r="AY1070" s="19"/>
      <c r="BA1070" s="19"/>
      <c r="BC1070" s="19"/>
      <c r="BE1070" s="19"/>
      <c r="BG1070" s="19"/>
      <c r="BI1070" s="19"/>
      <c r="BK1070" s="19"/>
      <c r="BM1070" s="19"/>
      <c r="BO1070" s="19"/>
    </row>
    <row r="1071" spans="14:67">
      <c r="Q1071" s="19"/>
      <c r="S1071" s="19"/>
      <c r="U1071" s="19"/>
      <c r="W1071" s="19"/>
      <c r="Y1071" s="19"/>
      <c r="AA1071" s="19"/>
      <c r="AC1071" s="19"/>
      <c r="AE1071" s="19"/>
      <c r="AG1071" s="19"/>
      <c r="AI1071" s="19"/>
      <c r="AK1071" s="19"/>
      <c r="AM1071" s="19"/>
      <c r="AO1071" s="19"/>
      <c r="AQ1071" s="19"/>
      <c r="AS1071" s="19"/>
      <c r="AU1071" s="19"/>
      <c r="AW1071" s="19"/>
      <c r="AY1071" s="19"/>
      <c r="BA1071" s="19"/>
      <c r="BC1071" s="19"/>
      <c r="BE1071" s="19"/>
      <c r="BG1071" s="19"/>
      <c r="BI1071" s="19"/>
      <c r="BK1071" s="19"/>
      <c r="BM1071" s="19"/>
      <c r="BO1071" s="19"/>
    </row>
    <row r="1072" spans="14:67">
      <c r="Q1072" s="19"/>
      <c r="S1072" s="19"/>
      <c r="U1072" s="19"/>
      <c r="W1072" s="19"/>
      <c r="Y1072" s="19"/>
      <c r="AA1072" s="19"/>
      <c r="AC1072" s="19"/>
      <c r="AE1072" s="19"/>
      <c r="AG1072" s="19"/>
      <c r="AI1072" s="19"/>
      <c r="AK1072" s="19"/>
      <c r="AM1072" s="19"/>
      <c r="AO1072" s="19"/>
      <c r="AQ1072" s="19"/>
      <c r="AS1072" s="19"/>
      <c r="AU1072" s="19"/>
      <c r="AW1072" s="19"/>
      <c r="AY1072" s="19"/>
      <c r="BA1072" s="19"/>
      <c r="BC1072" s="19"/>
      <c r="BE1072" s="19"/>
      <c r="BG1072" s="19"/>
      <c r="BI1072" s="19"/>
      <c r="BK1072" s="19"/>
      <c r="BM1072" s="19"/>
      <c r="BO1072" s="19"/>
    </row>
    <row r="1073" spans="18:67">
      <c r="R1073" s="18"/>
      <c r="T1073" s="18"/>
      <c r="V1073" s="18"/>
      <c r="X1073" s="18"/>
      <c r="Z1073" s="18"/>
      <c r="AB1073" s="18"/>
      <c r="AD1073" s="18"/>
      <c r="AF1073" s="18"/>
      <c r="AH1073" s="18"/>
      <c r="AJ1073" s="18"/>
      <c r="AL1073" s="18"/>
      <c r="AN1073" s="18"/>
      <c r="AP1073" s="18"/>
      <c r="AR1073" s="18"/>
      <c r="AT1073" s="18"/>
      <c r="AV1073" s="18"/>
      <c r="AX1073" s="18"/>
      <c r="AZ1073" s="18"/>
      <c r="BB1073" s="18"/>
      <c r="BD1073" s="18"/>
      <c r="BF1073" s="18"/>
      <c r="BH1073" s="18"/>
      <c r="BJ1073" s="18"/>
      <c r="BL1073" s="18"/>
      <c r="BN1073" s="18"/>
    </row>
    <row r="1074" spans="18:67">
      <c r="R1074" s="18"/>
      <c r="T1074" s="18"/>
      <c r="V1074" s="18"/>
      <c r="X1074" s="18"/>
      <c r="Z1074" s="18"/>
      <c r="AB1074" s="18"/>
      <c r="AD1074" s="18"/>
      <c r="AF1074" s="18"/>
      <c r="AH1074" s="18"/>
      <c r="AJ1074" s="18"/>
      <c r="AL1074" s="18"/>
      <c r="AN1074" s="18"/>
      <c r="AP1074" s="18"/>
      <c r="AR1074" s="18"/>
      <c r="AT1074" s="18"/>
      <c r="AV1074" s="18"/>
      <c r="AX1074" s="18"/>
      <c r="AZ1074" s="18"/>
      <c r="BB1074" s="18"/>
      <c r="BD1074" s="18"/>
      <c r="BF1074" s="18"/>
      <c r="BH1074" s="18"/>
      <c r="BJ1074" s="18"/>
      <c r="BL1074" s="18"/>
      <c r="BN1074" s="18"/>
    </row>
    <row r="1075" spans="18:67">
      <c r="R1075" s="19"/>
      <c r="T1075" s="19"/>
      <c r="V1075" s="19"/>
      <c r="X1075" s="19"/>
      <c r="Z1075" s="19"/>
      <c r="AB1075" s="19"/>
      <c r="AD1075" s="19"/>
      <c r="AF1075" s="19"/>
      <c r="AH1075" s="19"/>
      <c r="AJ1075" s="19"/>
      <c r="AL1075" s="19"/>
      <c r="AN1075" s="19"/>
      <c r="AP1075" s="19"/>
      <c r="AR1075" s="19"/>
      <c r="AT1075" s="19"/>
      <c r="AV1075" s="19"/>
      <c r="AX1075" s="19"/>
      <c r="AZ1075" s="19"/>
      <c r="BB1075" s="19"/>
      <c r="BD1075" s="19"/>
      <c r="BF1075" s="19"/>
      <c r="BH1075" s="19"/>
      <c r="BJ1075" s="19"/>
      <c r="BL1075" s="19"/>
      <c r="BN1075" s="19"/>
    </row>
    <row r="1076" spans="18:67">
      <c r="R1076" s="19"/>
      <c r="T1076" s="19"/>
      <c r="V1076" s="19"/>
      <c r="X1076" s="19"/>
      <c r="Z1076" s="19"/>
      <c r="AB1076" s="19"/>
      <c r="AD1076" s="19"/>
      <c r="AF1076" s="19"/>
      <c r="AH1076" s="19"/>
      <c r="AJ1076" s="19"/>
      <c r="AL1076" s="19"/>
      <c r="AN1076" s="19"/>
      <c r="AP1076" s="19"/>
      <c r="AR1076" s="19"/>
      <c r="AT1076" s="19"/>
      <c r="AV1076" s="19"/>
      <c r="AX1076" s="19"/>
      <c r="AZ1076" s="19"/>
      <c r="BB1076" s="19"/>
      <c r="BD1076" s="19"/>
      <c r="BF1076" s="19"/>
      <c r="BH1076" s="19"/>
      <c r="BJ1076" s="19"/>
      <c r="BL1076" s="19"/>
      <c r="BN1076" s="19"/>
    </row>
    <row r="1077" spans="18:67">
      <c r="R1077" s="19"/>
      <c r="T1077" s="19"/>
      <c r="V1077" s="19"/>
      <c r="X1077" s="19"/>
      <c r="Z1077" s="19"/>
      <c r="AB1077" s="19"/>
      <c r="AD1077" s="19"/>
      <c r="AF1077" s="19"/>
      <c r="AH1077" s="19"/>
      <c r="AJ1077" s="19"/>
      <c r="AL1077" s="19"/>
      <c r="AN1077" s="19"/>
      <c r="AP1077" s="19"/>
      <c r="AR1077" s="19"/>
      <c r="AT1077" s="19"/>
      <c r="AV1077" s="19"/>
      <c r="AX1077" s="19"/>
      <c r="AZ1077" s="19"/>
      <c r="BB1077" s="19"/>
      <c r="BD1077" s="19"/>
      <c r="BF1077" s="19"/>
      <c r="BH1077" s="19"/>
      <c r="BJ1077" s="19"/>
      <c r="BL1077" s="19"/>
      <c r="BN1077" s="19"/>
    </row>
    <row r="1078" spans="18:67">
      <c r="S1078" s="18"/>
      <c r="U1078" s="18"/>
      <c r="W1078" s="18"/>
      <c r="Y1078" s="18"/>
      <c r="AA1078" s="18"/>
      <c r="AC1078" s="18"/>
      <c r="AE1078" s="18"/>
      <c r="AG1078" s="18"/>
      <c r="AI1078" s="18"/>
      <c r="AK1078" s="18"/>
      <c r="AM1078" s="18"/>
      <c r="AO1078" s="18"/>
      <c r="AQ1078" s="18"/>
      <c r="AS1078" s="18"/>
      <c r="AU1078" s="18"/>
      <c r="AW1078" s="18"/>
      <c r="AY1078" s="18"/>
      <c r="BA1078" s="18"/>
      <c r="BC1078" s="18"/>
      <c r="BE1078" s="18"/>
      <c r="BG1078" s="18"/>
      <c r="BI1078" s="18"/>
      <c r="BK1078" s="18"/>
      <c r="BM1078" s="18"/>
      <c r="BO1078" s="18"/>
    </row>
    <row r="1079" spans="18:67">
      <c r="S1079" s="18"/>
      <c r="U1079" s="18"/>
      <c r="W1079" s="18"/>
      <c r="Y1079" s="18"/>
      <c r="AA1079" s="18"/>
      <c r="AC1079" s="18"/>
      <c r="AE1079" s="18"/>
      <c r="AG1079" s="18"/>
      <c r="AI1079" s="18"/>
      <c r="AK1079" s="18"/>
      <c r="AM1079" s="18"/>
      <c r="AO1079" s="18"/>
      <c r="AQ1079" s="18"/>
      <c r="AS1079" s="18"/>
      <c r="AU1079" s="18"/>
      <c r="AW1079" s="18"/>
      <c r="AY1079" s="18"/>
      <c r="BA1079" s="18"/>
      <c r="BC1079" s="18"/>
      <c r="BE1079" s="18"/>
      <c r="BG1079" s="18"/>
      <c r="BI1079" s="18"/>
      <c r="BK1079" s="18"/>
      <c r="BM1079" s="18"/>
      <c r="BO1079" s="18"/>
    </row>
    <row r="1080" spans="18:67">
      <c r="S1080" s="19"/>
      <c r="U1080" s="19"/>
      <c r="W1080" s="19"/>
      <c r="Y1080" s="19"/>
      <c r="AA1080" s="19"/>
      <c r="AC1080" s="19"/>
      <c r="AE1080" s="19"/>
      <c r="AG1080" s="19"/>
      <c r="AI1080" s="19"/>
      <c r="AK1080" s="19"/>
      <c r="AM1080" s="19"/>
      <c r="AO1080" s="19"/>
      <c r="AQ1080" s="19"/>
      <c r="AS1080" s="19"/>
      <c r="AU1080" s="19"/>
      <c r="AW1080" s="19"/>
      <c r="AY1080" s="19"/>
      <c r="BA1080" s="19"/>
      <c r="BC1080" s="19"/>
      <c r="BE1080" s="19"/>
      <c r="BG1080" s="19"/>
      <c r="BI1080" s="19"/>
      <c r="BK1080" s="19"/>
      <c r="BM1080" s="19"/>
      <c r="BO1080" s="19"/>
    </row>
    <row r="1081" spans="18:67">
      <c r="S1081" s="19"/>
      <c r="U1081" s="19"/>
      <c r="W1081" s="19"/>
      <c r="Y1081" s="19"/>
      <c r="AA1081" s="19"/>
      <c r="AC1081" s="19"/>
      <c r="AE1081" s="19"/>
      <c r="AG1081" s="19"/>
      <c r="AI1081" s="19"/>
      <c r="AK1081" s="19"/>
      <c r="AM1081" s="19"/>
      <c r="AO1081" s="19"/>
      <c r="AQ1081" s="19"/>
      <c r="AS1081" s="19"/>
      <c r="AU1081" s="19"/>
      <c r="AW1081" s="19"/>
      <c r="AY1081" s="19"/>
      <c r="BA1081" s="19"/>
      <c r="BC1081" s="19"/>
      <c r="BE1081" s="19"/>
      <c r="BG1081" s="19"/>
      <c r="BI1081" s="19"/>
      <c r="BK1081" s="19"/>
      <c r="BM1081" s="19"/>
      <c r="BO1081" s="19"/>
    </row>
    <row r="1082" spans="18:67">
      <c r="S1082" s="19"/>
      <c r="U1082" s="19"/>
      <c r="W1082" s="19"/>
      <c r="Y1082" s="19"/>
      <c r="AA1082" s="19"/>
      <c r="AC1082" s="19"/>
      <c r="AE1082" s="19"/>
      <c r="AG1082" s="19"/>
      <c r="AI1082" s="19"/>
      <c r="AK1082" s="19"/>
      <c r="AM1082" s="19"/>
      <c r="AO1082" s="19"/>
      <c r="AQ1082" s="19"/>
      <c r="AS1082" s="19"/>
      <c r="AU1082" s="19"/>
      <c r="AW1082" s="19"/>
      <c r="AY1082" s="19"/>
      <c r="BA1082" s="19"/>
      <c r="BC1082" s="19"/>
      <c r="BE1082" s="19"/>
      <c r="BG1082" s="19"/>
      <c r="BI1082" s="19"/>
      <c r="BK1082" s="19"/>
      <c r="BM1082" s="19"/>
      <c r="BO1082" s="19"/>
    </row>
    <row r="1083" spans="18:67">
      <c r="T1083" s="18"/>
      <c r="V1083" s="18"/>
      <c r="X1083" s="18"/>
      <c r="Z1083" s="18"/>
      <c r="AB1083" s="18"/>
      <c r="AD1083" s="18"/>
      <c r="AF1083" s="18"/>
      <c r="AH1083" s="18"/>
      <c r="AJ1083" s="18"/>
      <c r="AL1083" s="18"/>
      <c r="AN1083" s="18"/>
      <c r="AP1083" s="18"/>
      <c r="AR1083" s="18"/>
      <c r="AT1083" s="18"/>
      <c r="AV1083" s="18"/>
      <c r="AX1083" s="18"/>
      <c r="AZ1083" s="18"/>
      <c r="BB1083" s="18"/>
      <c r="BD1083" s="18"/>
      <c r="BF1083" s="18"/>
      <c r="BH1083" s="18"/>
      <c r="BJ1083" s="18"/>
      <c r="BL1083" s="18"/>
      <c r="BN1083" s="18"/>
    </row>
    <row r="1084" spans="18:67">
      <c r="T1084" s="18"/>
      <c r="V1084" s="18"/>
      <c r="X1084" s="18"/>
      <c r="Z1084" s="18"/>
      <c r="AB1084" s="18"/>
      <c r="AD1084" s="18"/>
      <c r="AF1084" s="18"/>
      <c r="AH1084" s="18"/>
      <c r="AJ1084" s="18"/>
      <c r="AL1084" s="18"/>
      <c r="AN1084" s="18"/>
      <c r="AP1084" s="18"/>
      <c r="AR1084" s="18"/>
      <c r="AT1084" s="18"/>
      <c r="AV1084" s="18"/>
      <c r="AX1084" s="18"/>
      <c r="AZ1084" s="18"/>
      <c r="BB1084" s="18"/>
      <c r="BD1084" s="18"/>
      <c r="BF1084" s="18"/>
      <c r="BH1084" s="18"/>
      <c r="BJ1084" s="18"/>
      <c r="BL1084" s="18"/>
      <c r="BN1084" s="18"/>
    </row>
    <row r="1085" spans="18:67">
      <c r="T1085" s="19"/>
      <c r="V1085" s="19"/>
      <c r="X1085" s="19"/>
      <c r="Z1085" s="19"/>
      <c r="AB1085" s="19"/>
      <c r="AD1085" s="19"/>
      <c r="AF1085" s="19"/>
      <c r="AH1085" s="19"/>
      <c r="AJ1085" s="19"/>
      <c r="AL1085" s="19"/>
      <c r="AN1085" s="19"/>
      <c r="AP1085" s="19"/>
      <c r="AR1085" s="19"/>
      <c r="AT1085" s="19"/>
      <c r="AV1085" s="19"/>
      <c r="AX1085" s="19"/>
      <c r="AZ1085" s="19"/>
      <c r="BB1085" s="19"/>
      <c r="BD1085" s="19"/>
      <c r="BF1085" s="19"/>
      <c r="BH1085" s="19"/>
      <c r="BJ1085" s="19"/>
      <c r="BL1085" s="19"/>
      <c r="BN1085" s="19"/>
    </row>
    <row r="1086" spans="18:67">
      <c r="T1086" s="19"/>
      <c r="V1086" s="19"/>
      <c r="X1086" s="19"/>
      <c r="Z1086" s="19"/>
      <c r="AB1086" s="19"/>
      <c r="AD1086" s="19"/>
      <c r="AF1086" s="19"/>
      <c r="AH1086" s="19"/>
      <c r="AJ1086" s="19"/>
      <c r="AL1086" s="19"/>
      <c r="AN1086" s="19"/>
      <c r="AP1086" s="19"/>
      <c r="AR1086" s="19"/>
      <c r="AT1086" s="19"/>
      <c r="AV1086" s="19"/>
      <c r="AX1086" s="19"/>
      <c r="AZ1086" s="19"/>
      <c r="BB1086" s="19"/>
      <c r="BD1086" s="19"/>
      <c r="BF1086" s="19"/>
      <c r="BH1086" s="19"/>
      <c r="BJ1086" s="19"/>
      <c r="BL1086" s="19"/>
      <c r="BN1086" s="19"/>
    </row>
    <row r="1087" spans="18:67">
      <c r="T1087" s="19"/>
      <c r="V1087" s="19"/>
      <c r="X1087" s="19"/>
      <c r="Z1087" s="19"/>
      <c r="AB1087" s="19"/>
      <c r="AD1087" s="19"/>
      <c r="AF1087" s="19"/>
      <c r="AH1087" s="19"/>
      <c r="AJ1087" s="19"/>
      <c r="AL1087" s="19"/>
      <c r="AN1087" s="19"/>
      <c r="AP1087" s="19"/>
      <c r="AR1087" s="19"/>
      <c r="AT1087" s="19"/>
      <c r="AV1087" s="19"/>
      <c r="AX1087" s="19"/>
      <c r="AZ1087" s="19"/>
      <c r="BB1087" s="19"/>
      <c r="BD1087" s="19"/>
      <c r="BF1087" s="19"/>
      <c r="BH1087" s="19"/>
      <c r="BJ1087" s="19"/>
      <c r="BL1087" s="19"/>
      <c r="BN1087" s="19"/>
    </row>
    <row r="1088" spans="18:67">
      <c r="U1088" s="18"/>
      <c r="W1088" s="18"/>
      <c r="Y1088" s="18"/>
      <c r="AA1088" s="18"/>
      <c r="AC1088" s="18"/>
      <c r="AE1088" s="18"/>
      <c r="AG1088" s="18"/>
      <c r="AI1088" s="18"/>
      <c r="AK1088" s="18"/>
      <c r="AM1088" s="18"/>
      <c r="AO1088" s="18"/>
      <c r="AQ1088" s="18"/>
      <c r="AS1088" s="18"/>
      <c r="AU1088" s="18"/>
      <c r="AW1088" s="18"/>
      <c r="AY1088" s="18"/>
      <c r="BA1088" s="18"/>
      <c r="BC1088" s="18"/>
      <c r="BE1088" s="18"/>
      <c r="BG1088" s="18"/>
      <c r="BI1088" s="18"/>
      <c r="BK1088" s="18"/>
      <c r="BM1088" s="18"/>
      <c r="BO1088" s="18"/>
    </row>
    <row r="1089" spans="21:67">
      <c r="U1089" s="18"/>
      <c r="W1089" s="18"/>
      <c r="Y1089" s="18"/>
      <c r="AA1089" s="18"/>
      <c r="AC1089" s="18"/>
      <c r="AE1089" s="18"/>
      <c r="AG1089" s="18"/>
      <c r="AI1089" s="18"/>
      <c r="AK1089" s="18"/>
      <c r="AM1089" s="18"/>
      <c r="AO1089" s="18"/>
      <c r="AQ1089" s="18"/>
      <c r="AS1089" s="18"/>
      <c r="AU1089" s="18"/>
      <c r="AW1089" s="18"/>
      <c r="AY1089" s="18"/>
      <c r="BA1089" s="18"/>
      <c r="BC1089" s="18"/>
      <c r="BE1089" s="18"/>
      <c r="BG1089" s="18"/>
      <c r="BI1089" s="18"/>
      <c r="BK1089" s="18"/>
      <c r="BM1089" s="18"/>
      <c r="BO1089" s="18"/>
    </row>
    <row r="1090" spans="21:67">
      <c r="U1090" s="19"/>
      <c r="W1090" s="19"/>
      <c r="Y1090" s="19"/>
      <c r="AA1090" s="19"/>
      <c r="AC1090" s="19"/>
      <c r="AE1090" s="19"/>
      <c r="AG1090" s="19"/>
      <c r="AI1090" s="19"/>
      <c r="AK1090" s="19"/>
      <c r="AM1090" s="19"/>
      <c r="AO1090" s="19"/>
      <c r="AQ1090" s="19"/>
      <c r="AS1090" s="19"/>
      <c r="AU1090" s="19"/>
      <c r="AW1090" s="19"/>
      <c r="AY1090" s="19"/>
      <c r="BA1090" s="19"/>
      <c r="BC1090" s="19"/>
      <c r="BE1090" s="19"/>
      <c r="BG1090" s="19"/>
      <c r="BI1090" s="19"/>
      <c r="BK1090" s="19"/>
      <c r="BM1090" s="19"/>
      <c r="BO1090" s="19"/>
    </row>
    <row r="1091" spans="21:67">
      <c r="U1091" s="19"/>
      <c r="W1091" s="19"/>
      <c r="Y1091" s="19"/>
      <c r="AA1091" s="19"/>
      <c r="AC1091" s="19"/>
      <c r="AE1091" s="19"/>
      <c r="AG1091" s="19"/>
      <c r="AI1091" s="19"/>
      <c r="AK1091" s="19"/>
      <c r="AM1091" s="19"/>
      <c r="AO1091" s="19"/>
      <c r="AQ1091" s="19"/>
      <c r="AS1091" s="19"/>
      <c r="AU1091" s="19"/>
      <c r="AW1091" s="19"/>
      <c r="AY1091" s="19"/>
      <c r="BA1091" s="19"/>
      <c r="BC1091" s="19"/>
      <c r="BE1091" s="19"/>
      <c r="BG1091" s="19"/>
      <c r="BI1091" s="19"/>
      <c r="BK1091" s="19"/>
      <c r="BM1091" s="19"/>
      <c r="BO1091" s="19"/>
    </row>
    <row r="1092" spans="21:67">
      <c r="U1092" s="19"/>
      <c r="W1092" s="19"/>
      <c r="Y1092" s="19"/>
      <c r="AA1092" s="19"/>
      <c r="AC1092" s="19"/>
      <c r="AE1092" s="19"/>
      <c r="AG1092" s="19"/>
      <c r="AI1092" s="19"/>
      <c r="AK1092" s="19"/>
      <c r="AM1092" s="19"/>
      <c r="AO1092" s="19"/>
      <c r="AQ1092" s="19"/>
      <c r="AS1092" s="19"/>
      <c r="AU1092" s="19"/>
      <c r="AW1092" s="19"/>
      <c r="AY1092" s="19"/>
      <c r="BA1092" s="19"/>
      <c r="BC1092" s="19"/>
      <c r="BE1092" s="19"/>
      <c r="BG1092" s="19"/>
      <c r="BI1092" s="19"/>
      <c r="BK1092" s="19"/>
      <c r="BM1092" s="19"/>
      <c r="BO1092" s="19"/>
    </row>
    <row r="1093" spans="21:67">
      <c r="V1093" s="18"/>
      <c r="X1093" s="18"/>
      <c r="Z1093" s="18"/>
      <c r="AB1093" s="18"/>
      <c r="AD1093" s="18"/>
      <c r="AF1093" s="18"/>
      <c r="AH1093" s="18"/>
      <c r="AJ1093" s="18"/>
      <c r="AL1093" s="18"/>
      <c r="AN1093" s="18"/>
      <c r="AP1093" s="18"/>
      <c r="AR1093" s="18"/>
      <c r="AT1093" s="18"/>
      <c r="AV1093" s="18"/>
      <c r="AX1093" s="18"/>
      <c r="AZ1093" s="18"/>
      <c r="BB1093" s="18"/>
      <c r="BD1093" s="18"/>
      <c r="BF1093" s="18"/>
      <c r="BH1093" s="18"/>
      <c r="BJ1093" s="18"/>
      <c r="BL1093" s="18"/>
      <c r="BN1093" s="18"/>
    </row>
    <row r="1094" spans="21:67">
      <c r="V1094" s="18"/>
      <c r="X1094" s="18"/>
      <c r="Z1094" s="18"/>
      <c r="AB1094" s="18"/>
      <c r="AD1094" s="18"/>
      <c r="AF1094" s="18"/>
      <c r="AH1094" s="18"/>
      <c r="AJ1094" s="18"/>
      <c r="AL1094" s="18"/>
      <c r="AN1094" s="18"/>
      <c r="AP1094" s="18"/>
      <c r="AR1094" s="18"/>
      <c r="AT1094" s="18"/>
      <c r="AV1094" s="18"/>
      <c r="AX1094" s="18"/>
      <c r="AZ1094" s="18"/>
      <c r="BB1094" s="18"/>
      <c r="BD1094" s="18"/>
      <c r="BF1094" s="18"/>
      <c r="BH1094" s="18"/>
      <c r="BJ1094" s="18"/>
      <c r="BL1094" s="18"/>
      <c r="BN1094" s="18"/>
    </row>
    <row r="1095" spans="21:67">
      <c r="V1095" s="19"/>
      <c r="X1095" s="19"/>
      <c r="Z1095" s="19"/>
      <c r="AB1095" s="19"/>
      <c r="AD1095" s="19"/>
      <c r="AF1095" s="19"/>
      <c r="AH1095" s="19"/>
      <c r="AJ1095" s="19"/>
      <c r="AL1095" s="19"/>
      <c r="AN1095" s="19"/>
      <c r="AP1095" s="19"/>
      <c r="AR1095" s="19"/>
      <c r="AT1095" s="19"/>
      <c r="AV1095" s="19"/>
      <c r="AX1095" s="19"/>
      <c r="AZ1095" s="19"/>
      <c r="BB1095" s="19"/>
      <c r="BD1095" s="19"/>
      <c r="BF1095" s="19"/>
      <c r="BH1095" s="19"/>
      <c r="BJ1095" s="19"/>
      <c r="BL1095" s="19"/>
      <c r="BN1095" s="19"/>
    </row>
    <row r="1096" spans="21:67">
      <c r="V1096" s="19"/>
      <c r="X1096" s="19"/>
      <c r="Z1096" s="19"/>
      <c r="AB1096" s="19"/>
      <c r="AD1096" s="19"/>
      <c r="AF1096" s="19"/>
      <c r="AH1096" s="19"/>
      <c r="AJ1096" s="19"/>
      <c r="AL1096" s="19"/>
      <c r="AN1096" s="19"/>
      <c r="AP1096" s="19"/>
      <c r="AR1096" s="19"/>
      <c r="AT1096" s="19"/>
      <c r="AV1096" s="19"/>
      <c r="AX1096" s="19"/>
      <c r="AZ1096" s="19"/>
      <c r="BB1096" s="19"/>
      <c r="BD1096" s="19"/>
      <c r="BF1096" s="19"/>
      <c r="BH1096" s="19"/>
      <c r="BJ1096" s="19"/>
      <c r="BL1096" s="19"/>
      <c r="BN1096" s="19"/>
    </row>
    <row r="1097" spans="21:67">
      <c r="V1097" s="19"/>
      <c r="X1097" s="19"/>
      <c r="Z1097" s="19"/>
      <c r="AB1097" s="19"/>
      <c r="AD1097" s="19"/>
      <c r="AF1097" s="19"/>
      <c r="AH1097" s="19"/>
      <c r="AJ1097" s="19"/>
      <c r="AL1097" s="19"/>
      <c r="AN1097" s="19"/>
      <c r="AP1097" s="19"/>
      <c r="AR1097" s="19"/>
      <c r="AT1097" s="19"/>
      <c r="AV1097" s="19"/>
      <c r="AX1097" s="19"/>
      <c r="AZ1097" s="19"/>
      <c r="BB1097" s="19"/>
      <c r="BD1097" s="19"/>
      <c r="BF1097" s="19"/>
      <c r="BH1097" s="19"/>
      <c r="BJ1097" s="19"/>
      <c r="BL1097" s="19"/>
      <c r="BN1097" s="19"/>
    </row>
    <row r="1098" spans="21:67">
      <c r="W1098" s="18"/>
      <c r="Y1098" s="18"/>
      <c r="AA1098" s="18"/>
      <c r="AC1098" s="18"/>
      <c r="AE1098" s="18"/>
      <c r="AG1098" s="18"/>
      <c r="AI1098" s="18"/>
      <c r="AK1098" s="18"/>
      <c r="AM1098" s="18"/>
      <c r="AO1098" s="18"/>
      <c r="AQ1098" s="18"/>
      <c r="AS1098" s="18"/>
      <c r="AU1098" s="18"/>
      <c r="AW1098" s="18"/>
      <c r="AY1098" s="18"/>
      <c r="BA1098" s="18"/>
      <c r="BC1098" s="18"/>
      <c r="BE1098" s="18"/>
      <c r="BG1098" s="18"/>
      <c r="BI1098" s="18"/>
      <c r="BK1098" s="18"/>
      <c r="BM1098" s="18"/>
      <c r="BO1098" s="18"/>
    </row>
    <row r="1099" spans="21:67">
      <c r="W1099" s="18"/>
      <c r="Y1099" s="18"/>
      <c r="AA1099" s="18"/>
      <c r="AC1099" s="18"/>
      <c r="AE1099" s="18"/>
      <c r="AG1099" s="18"/>
      <c r="AI1099" s="18"/>
      <c r="AK1099" s="18"/>
      <c r="AM1099" s="18"/>
      <c r="AO1099" s="18"/>
      <c r="AQ1099" s="18"/>
      <c r="AS1099" s="18"/>
      <c r="AU1099" s="18"/>
      <c r="AW1099" s="18"/>
      <c r="AY1099" s="18"/>
      <c r="BA1099" s="18"/>
      <c r="BC1099" s="18"/>
      <c r="BE1099" s="18"/>
      <c r="BG1099" s="18"/>
      <c r="BI1099" s="18"/>
      <c r="BK1099" s="18"/>
      <c r="BM1099" s="18"/>
      <c r="BO1099" s="18"/>
    </row>
    <row r="1100" spans="21:67">
      <c r="W1100" s="19"/>
      <c r="Y1100" s="19"/>
      <c r="AA1100" s="19"/>
      <c r="AC1100" s="19"/>
      <c r="AE1100" s="19"/>
      <c r="AG1100" s="19"/>
      <c r="AI1100" s="19"/>
      <c r="AK1100" s="19"/>
      <c r="AM1100" s="19"/>
      <c r="AO1100" s="19"/>
      <c r="AQ1100" s="19"/>
      <c r="AS1100" s="19"/>
      <c r="AU1100" s="19"/>
      <c r="AW1100" s="19"/>
      <c r="AY1100" s="19"/>
      <c r="BA1100" s="19"/>
      <c r="BC1100" s="19"/>
      <c r="BE1100" s="19"/>
      <c r="BG1100" s="19"/>
      <c r="BI1100" s="19"/>
      <c r="BK1100" s="19"/>
      <c r="BM1100" s="19"/>
      <c r="BO1100" s="19"/>
    </row>
    <row r="1101" spans="21:67">
      <c r="W1101" s="19"/>
      <c r="Y1101" s="19"/>
      <c r="AA1101" s="19"/>
      <c r="AC1101" s="19"/>
      <c r="AE1101" s="19"/>
      <c r="AG1101" s="19"/>
      <c r="AI1101" s="19"/>
      <c r="AK1101" s="19"/>
      <c r="AM1101" s="19"/>
      <c r="AO1101" s="19"/>
      <c r="AQ1101" s="19"/>
      <c r="AS1101" s="19"/>
      <c r="AU1101" s="19"/>
      <c r="AW1101" s="19"/>
      <c r="AY1101" s="19"/>
      <c r="BA1101" s="19"/>
      <c r="BC1101" s="19"/>
      <c r="BE1101" s="19"/>
      <c r="BG1101" s="19"/>
      <c r="BI1101" s="19"/>
      <c r="BK1101" s="19"/>
      <c r="BM1101" s="19"/>
      <c r="BO1101" s="19"/>
    </row>
    <row r="1102" spans="21:67">
      <c r="W1102" s="19"/>
      <c r="Y1102" s="19"/>
      <c r="AA1102" s="19"/>
      <c r="AC1102" s="19"/>
      <c r="AE1102" s="19"/>
      <c r="AG1102" s="19"/>
      <c r="AI1102" s="19"/>
      <c r="AK1102" s="19"/>
      <c r="AM1102" s="19"/>
      <c r="AO1102" s="19"/>
      <c r="AQ1102" s="19"/>
      <c r="AS1102" s="19"/>
      <c r="AU1102" s="19"/>
      <c r="AW1102" s="19"/>
      <c r="AY1102" s="19"/>
      <c r="BA1102" s="19"/>
      <c r="BC1102" s="19"/>
      <c r="BE1102" s="19"/>
      <c r="BG1102" s="19"/>
      <c r="BI1102" s="19"/>
      <c r="BK1102" s="19"/>
      <c r="BM1102" s="19"/>
      <c r="BO1102" s="19"/>
    </row>
    <row r="1103" spans="21:67">
      <c r="X1103" s="18"/>
      <c r="Z1103" s="18"/>
      <c r="AB1103" s="18"/>
      <c r="AD1103" s="18"/>
      <c r="AF1103" s="18"/>
      <c r="AH1103" s="18"/>
      <c r="AJ1103" s="18"/>
      <c r="AL1103" s="18"/>
      <c r="AN1103" s="18"/>
      <c r="AP1103" s="18"/>
      <c r="AR1103" s="18"/>
      <c r="AT1103" s="18"/>
      <c r="AV1103" s="18"/>
      <c r="AX1103" s="18"/>
      <c r="AZ1103" s="18"/>
      <c r="BB1103" s="18"/>
      <c r="BD1103" s="18"/>
      <c r="BF1103" s="18"/>
      <c r="BH1103" s="18"/>
      <c r="BJ1103" s="18"/>
      <c r="BL1103" s="18"/>
      <c r="BN1103" s="18"/>
    </row>
    <row r="1104" spans="21:67">
      <c r="X1104" s="18"/>
      <c r="Z1104" s="18"/>
      <c r="AB1104" s="18"/>
      <c r="AD1104" s="18"/>
      <c r="AF1104" s="18"/>
      <c r="AH1104" s="18"/>
      <c r="AJ1104" s="18"/>
      <c r="AL1104" s="18"/>
      <c r="AN1104" s="18"/>
      <c r="AP1104" s="18"/>
      <c r="AR1104" s="18"/>
      <c r="AT1104" s="18"/>
      <c r="AV1104" s="18"/>
      <c r="AX1104" s="18"/>
      <c r="AZ1104" s="18"/>
      <c r="BB1104" s="18"/>
      <c r="BD1104" s="18"/>
      <c r="BF1104" s="18"/>
      <c r="BH1104" s="18"/>
      <c r="BJ1104" s="18"/>
      <c r="BL1104" s="18"/>
      <c r="BN1104" s="18"/>
    </row>
    <row r="1105" spans="24:67">
      <c r="X1105" s="19"/>
      <c r="Z1105" s="19"/>
      <c r="AB1105" s="19"/>
      <c r="AD1105" s="19"/>
      <c r="AF1105" s="19"/>
      <c r="AH1105" s="19"/>
      <c r="AJ1105" s="19"/>
      <c r="AL1105" s="19"/>
      <c r="AN1105" s="19"/>
      <c r="AP1105" s="19"/>
      <c r="AR1105" s="19"/>
      <c r="AT1105" s="19"/>
      <c r="AV1105" s="19"/>
      <c r="AX1105" s="19"/>
      <c r="AZ1105" s="19"/>
      <c r="BB1105" s="19"/>
      <c r="BD1105" s="19"/>
      <c r="BF1105" s="19"/>
      <c r="BH1105" s="19"/>
      <c r="BJ1105" s="19"/>
      <c r="BL1105" s="19"/>
      <c r="BN1105" s="19"/>
    </row>
    <row r="1106" spans="24:67">
      <c r="X1106" s="19"/>
      <c r="Z1106" s="19"/>
      <c r="AB1106" s="19"/>
      <c r="AD1106" s="19"/>
      <c r="AF1106" s="19"/>
      <c r="AH1106" s="19"/>
      <c r="AJ1106" s="19"/>
      <c r="AL1106" s="19"/>
      <c r="AN1106" s="19"/>
      <c r="AP1106" s="19"/>
      <c r="AR1106" s="19"/>
      <c r="AT1106" s="19"/>
      <c r="AV1106" s="19"/>
      <c r="AX1106" s="19"/>
      <c r="AZ1106" s="19"/>
      <c r="BB1106" s="19"/>
      <c r="BD1106" s="19"/>
      <c r="BF1106" s="19"/>
      <c r="BH1106" s="19"/>
      <c r="BJ1106" s="19"/>
      <c r="BL1106" s="19"/>
      <c r="BN1106" s="19"/>
    </row>
    <row r="1107" spans="24:67">
      <c r="X1107" s="19"/>
      <c r="Z1107" s="19"/>
      <c r="AB1107" s="19"/>
      <c r="AD1107" s="19"/>
      <c r="AF1107" s="19"/>
      <c r="AH1107" s="19"/>
      <c r="AJ1107" s="19"/>
      <c r="AL1107" s="19"/>
      <c r="AN1107" s="19"/>
      <c r="AP1107" s="19"/>
      <c r="AR1107" s="19"/>
      <c r="AT1107" s="19"/>
      <c r="AV1107" s="19"/>
      <c r="AX1107" s="19"/>
      <c r="AZ1107" s="19"/>
      <c r="BB1107" s="19"/>
      <c r="BD1107" s="19"/>
      <c r="BF1107" s="19"/>
      <c r="BH1107" s="19"/>
      <c r="BJ1107" s="19"/>
      <c r="BL1107" s="19"/>
      <c r="BN1107" s="19"/>
    </row>
    <row r="1108" spans="24:67">
      <c r="Y1108" s="18"/>
      <c r="AA1108" s="18"/>
      <c r="AC1108" s="18"/>
      <c r="AE1108" s="18"/>
      <c r="AG1108" s="18"/>
      <c r="AI1108" s="18"/>
      <c r="AK1108" s="18"/>
      <c r="AM1108" s="18"/>
      <c r="AO1108" s="18"/>
      <c r="AQ1108" s="18"/>
      <c r="AS1108" s="18"/>
      <c r="AU1108" s="18"/>
      <c r="AW1108" s="18"/>
      <c r="AY1108" s="18"/>
      <c r="BA1108" s="18"/>
      <c r="BC1108" s="18"/>
      <c r="BE1108" s="18"/>
      <c r="BG1108" s="18"/>
      <c r="BI1108" s="18"/>
      <c r="BK1108" s="18"/>
      <c r="BM1108" s="18"/>
      <c r="BO1108" s="18"/>
    </row>
    <row r="1109" spans="24:67">
      <c r="Y1109" s="18"/>
      <c r="AA1109" s="18"/>
      <c r="AC1109" s="18"/>
      <c r="AE1109" s="18"/>
      <c r="AG1109" s="18"/>
      <c r="AI1109" s="18"/>
      <c r="AK1109" s="18"/>
      <c r="AM1109" s="18"/>
      <c r="AO1109" s="18"/>
      <c r="AQ1109" s="18"/>
      <c r="AS1109" s="18"/>
      <c r="AU1109" s="18"/>
      <c r="AW1109" s="18"/>
      <c r="AY1109" s="18"/>
      <c r="BA1109" s="18"/>
      <c r="BC1109" s="18"/>
      <c r="BE1109" s="18"/>
      <c r="BG1109" s="18"/>
      <c r="BI1109" s="18"/>
      <c r="BK1109" s="18"/>
      <c r="BM1109" s="18"/>
      <c r="BO1109" s="18"/>
    </row>
    <row r="1110" spans="24:67">
      <c r="Y1110" s="19"/>
      <c r="AA1110" s="19"/>
      <c r="AC1110" s="19"/>
      <c r="AE1110" s="19"/>
      <c r="AG1110" s="19"/>
      <c r="AI1110" s="19"/>
      <c r="AK1110" s="19"/>
      <c r="AM1110" s="19"/>
      <c r="AO1110" s="19"/>
      <c r="AQ1110" s="19"/>
      <c r="AS1110" s="19"/>
      <c r="AU1110" s="19"/>
      <c r="AW1110" s="19"/>
      <c r="AY1110" s="19"/>
      <c r="BA1110" s="19"/>
      <c r="BC1110" s="19"/>
      <c r="BE1110" s="19"/>
      <c r="BG1110" s="19"/>
      <c r="BI1110" s="19"/>
      <c r="BK1110" s="19"/>
      <c r="BM1110" s="19"/>
      <c r="BO1110" s="19"/>
    </row>
    <row r="1111" spans="24:67">
      <c r="Y1111" s="19"/>
      <c r="AA1111" s="19"/>
      <c r="AC1111" s="19"/>
      <c r="AE1111" s="19"/>
      <c r="AG1111" s="19"/>
      <c r="AI1111" s="19"/>
      <c r="AK1111" s="19"/>
      <c r="AM1111" s="19"/>
      <c r="AO1111" s="19"/>
      <c r="AQ1111" s="19"/>
      <c r="AS1111" s="19"/>
      <c r="AU1111" s="19"/>
      <c r="AW1111" s="19"/>
      <c r="AY1111" s="19"/>
      <c r="BA1111" s="19"/>
      <c r="BC1111" s="19"/>
      <c r="BE1111" s="19"/>
      <c r="BG1111" s="19"/>
      <c r="BI1111" s="19"/>
      <c r="BK1111" s="19"/>
      <c r="BM1111" s="19"/>
      <c r="BO1111" s="19"/>
    </row>
    <row r="1112" spans="24:67">
      <c r="Y1112" s="19"/>
      <c r="AA1112" s="19"/>
      <c r="AC1112" s="19"/>
      <c r="AE1112" s="19"/>
      <c r="AG1112" s="19"/>
      <c r="AI1112" s="19"/>
      <c r="AK1112" s="19"/>
      <c r="AM1112" s="19"/>
      <c r="AO1112" s="19"/>
      <c r="AQ1112" s="19"/>
      <c r="AS1112" s="19"/>
      <c r="AU1112" s="19"/>
      <c r="AW1112" s="19"/>
      <c r="AY1112" s="19"/>
      <c r="BA1112" s="19"/>
      <c r="BC1112" s="19"/>
      <c r="BE1112" s="19"/>
      <c r="BG1112" s="19"/>
      <c r="BI1112" s="19"/>
      <c r="BK1112" s="19"/>
      <c r="BM1112" s="19"/>
      <c r="BO1112" s="19"/>
    </row>
    <row r="1113" spans="24:67">
      <c r="Z1113" s="18"/>
      <c r="AB1113" s="18"/>
      <c r="AD1113" s="18"/>
      <c r="AF1113" s="18"/>
      <c r="AH1113" s="18"/>
      <c r="AJ1113" s="18"/>
      <c r="AL1113" s="18"/>
      <c r="AN1113" s="18"/>
      <c r="AP1113" s="18"/>
      <c r="AR1113" s="18"/>
      <c r="AT1113" s="18"/>
      <c r="AV1113" s="18"/>
      <c r="AX1113" s="18"/>
      <c r="AZ1113" s="18"/>
      <c r="BB1113" s="18"/>
      <c r="BD1113" s="18"/>
      <c r="BF1113" s="18"/>
      <c r="BH1113" s="18"/>
      <c r="BJ1113" s="18"/>
      <c r="BL1113" s="18"/>
      <c r="BN1113" s="18"/>
    </row>
    <row r="1114" spans="24:67">
      <c r="Z1114" s="18"/>
      <c r="AB1114" s="18"/>
      <c r="AD1114" s="18"/>
      <c r="AF1114" s="18"/>
      <c r="AH1114" s="18"/>
      <c r="AJ1114" s="18"/>
      <c r="AL1114" s="18"/>
      <c r="AN1114" s="18"/>
      <c r="AP1114" s="18"/>
      <c r="AR1114" s="18"/>
      <c r="AT1114" s="18"/>
      <c r="AV1114" s="18"/>
      <c r="AX1114" s="18"/>
      <c r="AZ1114" s="18"/>
      <c r="BB1114" s="18"/>
      <c r="BD1114" s="18"/>
      <c r="BF1114" s="18"/>
      <c r="BH1114" s="18"/>
      <c r="BJ1114" s="18"/>
      <c r="BL1114" s="18"/>
      <c r="BN1114" s="18"/>
    </row>
    <row r="1115" spans="24:67">
      <c r="Z1115" s="19"/>
      <c r="AB1115" s="19"/>
      <c r="AD1115" s="19"/>
      <c r="AF1115" s="19"/>
      <c r="AH1115" s="19"/>
      <c r="AJ1115" s="19"/>
      <c r="AL1115" s="19"/>
      <c r="AN1115" s="19"/>
      <c r="AP1115" s="19"/>
      <c r="AR1115" s="19"/>
      <c r="AT1115" s="19"/>
      <c r="AV1115" s="19"/>
      <c r="AX1115" s="19"/>
      <c r="AZ1115" s="19"/>
      <c r="BB1115" s="19"/>
      <c r="BD1115" s="19"/>
      <c r="BF1115" s="19"/>
      <c r="BH1115" s="19"/>
      <c r="BJ1115" s="19"/>
      <c r="BL1115" s="19"/>
      <c r="BN1115" s="19"/>
    </row>
    <row r="1116" spans="24:67">
      <c r="Z1116" s="19"/>
      <c r="AB1116" s="19"/>
      <c r="AD1116" s="19"/>
      <c r="AF1116" s="19"/>
      <c r="AH1116" s="19"/>
      <c r="AJ1116" s="19"/>
      <c r="AL1116" s="19"/>
      <c r="AN1116" s="19"/>
      <c r="AP1116" s="19"/>
      <c r="AR1116" s="19"/>
      <c r="AT1116" s="19"/>
      <c r="AV1116" s="19"/>
      <c r="AX1116" s="19"/>
      <c r="AZ1116" s="19"/>
      <c r="BB1116" s="19"/>
      <c r="BD1116" s="19"/>
      <c r="BF1116" s="19"/>
      <c r="BH1116" s="19"/>
      <c r="BJ1116" s="19"/>
      <c r="BL1116" s="19"/>
      <c r="BN1116" s="19"/>
    </row>
    <row r="1117" spans="24:67">
      <c r="Z1117" s="19"/>
      <c r="AB1117" s="19"/>
      <c r="AD1117" s="19"/>
      <c r="AF1117" s="19"/>
      <c r="AH1117" s="19"/>
      <c r="AJ1117" s="19"/>
      <c r="AL1117" s="19"/>
      <c r="AN1117" s="19"/>
      <c r="AP1117" s="19"/>
      <c r="AR1117" s="19"/>
      <c r="AT1117" s="19"/>
      <c r="AV1117" s="19"/>
      <c r="AX1117" s="19"/>
      <c r="AZ1117" s="19"/>
      <c r="BB1117" s="19"/>
      <c r="BD1117" s="19"/>
      <c r="BF1117" s="19"/>
      <c r="BH1117" s="19"/>
      <c r="BJ1117" s="19"/>
      <c r="BL1117" s="19"/>
      <c r="BN1117" s="19"/>
    </row>
    <row r="1118" spans="24:67">
      <c r="AA1118" s="18"/>
      <c r="AC1118" s="18"/>
      <c r="AE1118" s="18"/>
      <c r="AG1118" s="18"/>
      <c r="AI1118" s="18"/>
      <c r="AK1118" s="18"/>
      <c r="AM1118" s="18"/>
      <c r="AO1118" s="18"/>
      <c r="AQ1118" s="18"/>
      <c r="AS1118" s="18"/>
      <c r="AU1118" s="18"/>
      <c r="AW1118" s="18"/>
      <c r="AY1118" s="18"/>
      <c r="BA1118" s="18"/>
      <c r="BC1118" s="18"/>
      <c r="BE1118" s="18"/>
      <c r="BG1118" s="18"/>
      <c r="BI1118" s="18"/>
      <c r="BK1118" s="18"/>
      <c r="BM1118" s="18"/>
      <c r="BO1118" s="18"/>
    </row>
    <row r="1119" spans="24:67">
      <c r="AA1119" s="18"/>
      <c r="AC1119" s="18"/>
      <c r="AE1119" s="18"/>
      <c r="AG1119" s="18"/>
      <c r="AI1119" s="18"/>
      <c r="AK1119" s="18"/>
      <c r="AM1119" s="18"/>
      <c r="AO1119" s="18"/>
      <c r="AQ1119" s="18"/>
      <c r="AS1119" s="18"/>
      <c r="AU1119" s="18"/>
      <c r="AW1119" s="18"/>
      <c r="AY1119" s="18"/>
      <c r="BA1119" s="18"/>
      <c r="BC1119" s="18"/>
      <c r="BE1119" s="18"/>
      <c r="BG1119" s="18"/>
      <c r="BI1119" s="18"/>
      <c r="BK1119" s="18"/>
      <c r="BM1119" s="18"/>
      <c r="BO1119" s="18"/>
    </row>
    <row r="1120" spans="24:67">
      <c r="AA1120" s="19"/>
      <c r="AC1120" s="19"/>
      <c r="AE1120" s="19"/>
      <c r="AG1120" s="19"/>
      <c r="AI1120" s="19"/>
      <c r="AK1120" s="19"/>
      <c r="AM1120" s="19"/>
      <c r="AO1120" s="19"/>
      <c r="AQ1120" s="19"/>
      <c r="AS1120" s="19"/>
      <c r="AU1120" s="19"/>
      <c r="AW1120" s="19"/>
      <c r="AY1120" s="19"/>
      <c r="BA1120" s="19"/>
      <c r="BC1120" s="19"/>
      <c r="BE1120" s="19"/>
      <c r="BG1120" s="19"/>
      <c r="BI1120" s="19"/>
      <c r="BK1120" s="19"/>
      <c r="BM1120" s="19"/>
      <c r="BO1120" s="19"/>
    </row>
    <row r="1121" spans="27:67">
      <c r="AA1121" s="19"/>
      <c r="AC1121" s="19"/>
      <c r="AE1121" s="19"/>
      <c r="AG1121" s="19"/>
      <c r="AI1121" s="19"/>
      <c r="AK1121" s="19"/>
      <c r="AM1121" s="19"/>
      <c r="AO1121" s="19"/>
      <c r="AQ1121" s="19"/>
      <c r="AS1121" s="19"/>
      <c r="AU1121" s="19"/>
      <c r="AW1121" s="19"/>
      <c r="AY1121" s="19"/>
      <c r="BA1121" s="19"/>
      <c r="BC1121" s="19"/>
      <c r="BE1121" s="19"/>
      <c r="BG1121" s="19"/>
      <c r="BI1121" s="19"/>
      <c r="BK1121" s="19"/>
      <c r="BM1121" s="19"/>
      <c r="BO1121" s="19"/>
    </row>
    <row r="1122" spans="27:67">
      <c r="AA1122" s="19"/>
      <c r="AC1122" s="19"/>
      <c r="AE1122" s="19"/>
      <c r="AG1122" s="19"/>
      <c r="AI1122" s="19"/>
      <c r="AK1122" s="19"/>
      <c r="AM1122" s="19"/>
      <c r="AO1122" s="19"/>
      <c r="AQ1122" s="19"/>
      <c r="AS1122" s="19"/>
      <c r="AU1122" s="19"/>
      <c r="AW1122" s="19"/>
      <c r="AY1122" s="19"/>
      <c r="BA1122" s="19"/>
      <c r="BC1122" s="19"/>
      <c r="BE1122" s="19"/>
      <c r="BG1122" s="19"/>
      <c r="BI1122" s="19"/>
      <c r="BK1122" s="19"/>
      <c r="BM1122" s="19"/>
      <c r="BO1122" s="19"/>
    </row>
    <row r="1123" spans="27:67">
      <c r="AB1123" s="18"/>
      <c r="AD1123" s="18"/>
      <c r="AF1123" s="18"/>
      <c r="AH1123" s="18"/>
      <c r="AJ1123" s="18"/>
      <c r="AL1123" s="18"/>
      <c r="AN1123" s="18"/>
      <c r="AP1123" s="18"/>
      <c r="AR1123" s="18"/>
      <c r="AT1123" s="18"/>
      <c r="AV1123" s="18"/>
      <c r="AX1123" s="18"/>
      <c r="AZ1123" s="18"/>
      <c r="BB1123" s="18"/>
      <c r="BD1123" s="18"/>
      <c r="BF1123" s="18"/>
      <c r="BH1123" s="18"/>
      <c r="BJ1123" s="18"/>
      <c r="BL1123" s="18"/>
      <c r="BN1123" s="18"/>
    </row>
    <row r="1124" spans="27:67">
      <c r="AB1124" s="18"/>
      <c r="AD1124" s="18"/>
      <c r="AF1124" s="18"/>
      <c r="AH1124" s="18"/>
      <c r="AJ1124" s="18"/>
      <c r="AL1124" s="18"/>
      <c r="AN1124" s="18"/>
      <c r="AP1124" s="18"/>
      <c r="AR1124" s="18"/>
      <c r="AT1124" s="18"/>
      <c r="AV1124" s="18"/>
      <c r="AX1124" s="18"/>
      <c r="AZ1124" s="18"/>
      <c r="BB1124" s="18"/>
      <c r="BD1124" s="18"/>
      <c r="BF1124" s="18"/>
      <c r="BH1124" s="18"/>
      <c r="BJ1124" s="18"/>
      <c r="BL1124" s="18"/>
      <c r="BN1124" s="18"/>
    </row>
    <row r="1125" spans="27:67">
      <c r="AB1125" s="19"/>
      <c r="AD1125" s="19"/>
      <c r="AF1125" s="19"/>
      <c r="AH1125" s="19"/>
      <c r="AJ1125" s="19"/>
      <c r="AL1125" s="19"/>
      <c r="AN1125" s="19"/>
      <c r="AP1125" s="19"/>
      <c r="AR1125" s="19"/>
      <c r="AT1125" s="19"/>
      <c r="AV1125" s="19"/>
      <c r="AX1125" s="19"/>
      <c r="AZ1125" s="19"/>
      <c r="BB1125" s="19"/>
      <c r="BD1125" s="19"/>
      <c r="BF1125" s="19"/>
      <c r="BH1125" s="19"/>
      <c r="BJ1125" s="19"/>
      <c r="BL1125" s="19"/>
      <c r="BN1125" s="19"/>
    </row>
    <row r="1126" spans="27:67">
      <c r="AB1126" s="19"/>
      <c r="AD1126" s="19"/>
      <c r="AF1126" s="19"/>
      <c r="AH1126" s="19"/>
      <c r="AJ1126" s="19"/>
      <c r="AL1126" s="19"/>
      <c r="AN1126" s="19"/>
      <c r="AP1126" s="19"/>
      <c r="AR1126" s="19"/>
      <c r="AT1126" s="19"/>
      <c r="AV1126" s="19"/>
      <c r="AX1126" s="19"/>
      <c r="AZ1126" s="19"/>
      <c r="BB1126" s="19"/>
      <c r="BD1126" s="19"/>
      <c r="BF1126" s="19"/>
      <c r="BH1126" s="19"/>
      <c r="BJ1126" s="19"/>
      <c r="BL1126" s="19"/>
      <c r="BN1126" s="19"/>
    </row>
    <row r="1127" spans="27:67">
      <c r="AB1127" s="19"/>
      <c r="AD1127" s="19"/>
      <c r="AF1127" s="19"/>
      <c r="AH1127" s="19"/>
      <c r="AJ1127" s="19"/>
      <c r="AL1127" s="19"/>
      <c r="AN1127" s="19"/>
      <c r="AP1127" s="19"/>
      <c r="AR1127" s="19"/>
      <c r="AT1127" s="19"/>
      <c r="AV1127" s="19"/>
      <c r="AX1127" s="19"/>
      <c r="AZ1127" s="19"/>
      <c r="BB1127" s="19"/>
      <c r="BD1127" s="19"/>
      <c r="BF1127" s="19"/>
      <c r="BH1127" s="19"/>
      <c r="BJ1127" s="19"/>
      <c r="BL1127" s="19"/>
      <c r="BN1127" s="19"/>
    </row>
    <row r="1128" spans="27:67">
      <c r="AC1128" s="18"/>
      <c r="AE1128" s="18"/>
      <c r="AG1128" s="18"/>
      <c r="AI1128" s="18"/>
      <c r="AK1128" s="18"/>
      <c r="AM1128" s="18"/>
      <c r="AO1128" s="18"/>
      <c r="AQ1128" s="18"/>
      <c r="AS1128" s="18"/>
      <c r="AU1128" s="18"/>
      <c r="AW1128" s="18"/>
      <c r="AY1128" s="18"/>
      <c r="BA1128" s="18"/>
      <c r="BC1128" s="18"/>
      <c r="BE1128" s="18"/>
      <c r="BG1128" s="18"/>
      <c r="BI1128" s="18"/>
      <c r="BK1128" s="18"/>
      <c r="BM1128" s="18"/>
      <c r="BO1128" s="18"/>
    </row>
    <row r="1129" spans="27:67">
      <c r="AC1129" s="18"/>
      <c r="AE1129" s="18"/>
      <c r="AG1129" s="18"/>
      <c r="AI1129" s="18"/>
      <c r="AK1129" s="18"/>
      <c r="AM1129" s="18"/>
      <c r="AO1129" s="18"/>
      <c r="AQ1129" s="18"/>
      <c r="AS1129" s="18"/>
      <c r="AU1129" s="18"/>
      <c r="AW1129" s="18"/>
      <c r="AY1129" s="18"/>
      <c r="BA1129" s="18"/>
      <c r="BC1129" s="18"/>
      <c r="BE1129" s="18"/>
      <c r="BG1129" s="18"/>
      <c r="BI1129" s="18"/>
      <c r="BK1129" s="18"/>
      <c r="BM1129" s="18"/>
      <c r="BO1129" s="18"/>
    </row>
    <row r="1130" spans="27:67">
      <c r="AC1130" s="19"/>
      <c r="AE1130" s="19"/>
      <c r="AG1130" s="19"/>
      <c r="AI1130" s="19"/>
      <c r="AK1130" s="19"/>
      <c r="AM1130" s="19"/>
      <c r="AO1130" s="19"/>
      <c r="AQ1130" s="19"/>
      <c r="AS1130" s="19"/>
      <c r="AU1130" s="19"/>
      <c r="AW1130" s="19"/>
      <c r="AY1130" s="19"/>
      <c r="BA1130" s="19"/>
      <c r="BC1130" s="19"/>
      <c r="BE1130" s="19"/>
      <c r="BG1130" s="19"/>
      <c r="BI1130" s="19"/>
      <c r="BK1130" s="19"/>
      <c r="BM1130" s="19"/>
      <c r="BO1130" s="19"/>
    </row>
    <row r="1131" spans="27:67">
      <c r="AC1131" s="19"/>
      <c r="AE1131" s="19"/>
      <c r="AG1131" s="19"/>
      <c r="AI1131" s="19"/>
      <c r="AK1131" s="19"/>
      <c r="AM1131" s="19"/>
      <c r="AO1131" s="19"/>
      <c r="AQ1131" s="19"/>
      <c r="AS1131" s="19"/>
      <c r="AU1131" s="19"/>
      <c r="AW1131" s="19"/>
      <c r="AY1131" s="19"/>
      <c r="BA1131" s="19"/>
      <c r="BC1131" s="19"/>
      <c r="BE1131" s="19"/>
      <c r="BG1131" s="19"/>
      <c r="BI1131" s="19"/>
      <c r="BK1131" s="19"/>
      <c r="BM1131" s="19"/>
      <c r="BO1131" s="19"/>
    </row>
    <row r="1132" spans="27:67">
      <c r="AC1132" s="19"/>
      <c r="AE1132" s="19"/>
      <c r="AG1132" s="19"/>
      <c r="AI1132" s="19"/>
      <c r="AK1132" s="19"/>
      <c r="AM1132" s="19"/>
      <c r="AO1132" s="19"/>
      <c r="AQ1132" s="19"/>
      <c r="AS1132" s="19"/>
      <c r="AU1132" s="19"/>
      <c r="AW1132" s="19"/>
      <c r="AY1132" s="19"/>
      <c r="BA1132" s="19"/>
      <c r="BC1132" s="19"/>
      <c r="BE1132" s="19"/>
      <c r="BG1132" s="19"/>
      <c r="BI1132" s="19"/>
      <c r="BK1132" s="19"/>
      <c r="BM1132" s="19"/>
      <c r="BO1132" s="19"/>
    </row>
    <row r="1133" spans="27:67">
      <c r="AD1133" s="18"/>
      <c r="AF1133" s="18"/>
      <c r="AH1133" s="18"/>
      <c r="AJ1133" s="18"/>
      <c r="AL1133" s="18"/>
      <c r="AN1133" s="18"/>
      <c r="AP1133" s="18"/>
      <c r="AR1133" s="18"/>
      <c r="AT1133" s="18"/>
      <c r="AV1133" s="18"/>
      <c r="AX1133" s="18"/>
      <c r="AZ1133" s="18"/>
      <c r="BB1133" s="18"/>
      <c r="BD1133" s="18"/>
      <c r="BF1133" s="18"/>
      <c r="BH1133" s="18"/>
      <c r="BJ1133" s="18"/>
      <c r="BL1133" s="18"/>
      <c r="BN1133" s="18"/>
    </row>
    <row r="1134" spans="27:67">
      <c r="AD1134" s="18"/>
      <c r="AF1134" s="18"/>
      <c r="AH1134" s="18"/>
      <c r="AJ1134" s="18"/>
      <c r="AL1134" s="18"/>
      <c r="AN1134" s="18"/>
      <c r="AP1134" s="18"/>
      <c r="AR1134" s="18"/>
      <c r="AT1134" s="18"/>
      <c r="AV1134" s="18"/>
      <c r="AX1134" s="18"/>
      <c r="AZ1134" s="18"/>
      <c r="BB1134" s="18"/>
      <c r="BD1134" s="18"/>
      <c r="BF1134" s="18"/>
      <c r="BH1134" s="18"/>
      <c r="BJ1134" s="18"/>
      <c r="BL1134" s="18"/>
      <c r="BN1134" s="18"/>
    </row>
    <row r="1135" spans="27:67">
      <c r="AD1135" s="19"/>
      <c r="AF1135" s="19"/>
      <c r="AH1135" s="19"/>
      <c r="AJ1135" s="19"/>
      <c r="AL1135" s="19"/>
      <c r="AN1135" s="19"/>
      <c r="AP1135" s="19"/>
      <c r="AR1135" s="19"/>
      <c r="AT1135" s="19"/>
      <c r="AV1135" s="19"/>
      <c r="AX1135" s="19"/>
      <c r="AZ1135" s="19"/>
      <c r="BB1135" s="19"/>
      <c r="BD1135" s="19"/>
      <c r="BF1135" s="19"/>
      <c r="BH1135" s="19"/>
      <c r="BJ1135" s="19"/>
      <c r="BL1135" s="19"/>
      <c r="BN1135" s="19"/>
    </row>
    <row r="1136" spans="27:67">
      <c r="AD1136" s="19"/>
      <c r="AF1136" s="19"/>
      <c r="AH1136" s="19"/>
      <c r="AJ1136" s="19"/>
      <c r="AL1136" s="19"/>
      <c r="AN1136" s="19"/>
      <c r="AP1136" s="19"/>
      <c r="AR1136" s="19"/>
      <c r="AT1136" s="19"/>
      <c r="AV1136" s="19"/>
      <c r="AX1136" s="19"/>
      <c r="AZ1136" s="19"/>
      <c r="BB1136" s="19"/>
      <c r="BD1136" s="19"/>
      <c r="BF1136" s="19"/>
      <c r="BH1136" s="19"/>
      <c r="BJ1136" s="19"/>
      <c r="BL1136" s="19"/>
      <c r="BN1136" s="19"/>
    </row>
    <row r="1137" spans="30:67">
      <c r="AD1137" s="19"/>
      <c r="AF1137" s="19"/>
      <c r="AH1137" s="19"/>
      <c r="AJ1137" s="19"/>
      <c r="AL1137" s="19"/>
      <c r="AN1137" s="19"/>
      <c r="AP1137" s="19"/>
      <c r="AR1137" s="19"/>
      <c r="AT1137" s="19"/>
      <c r="AV1137" s="19"/>
      <c r="AX1137" s="19"/>
      <c r="AZ1137" s="19"/>
      <c r="BB1137" s="19"/>
      <c r="BD1137" s="19"/>
      <c r="BF1137" s="19"/>
      <c r="BH1137" s="19"/>
      <c r="BJ1137" s="19"/>
      <c r="BL1137" s="19"/>
      <c r="BN1137" s="19"/>
    </row>
    <row r="1138" spans="30:67">
      <c r="AE1138" s="18"/>
      <c r="AG1138" s="18"/>
      <c r="AI1138" s="18"/>
      <c r="AK1138" s="18"/>
      <c r="AM1138" s="18"/>
      <c r="AO1138" s="18"/>
      <c r="AQ1138" s="18"/>
      <c r="AS1138" s="18"/>
      <c r="AU1138" s="18"/>
      <c r="AW1138" s="18"/>
      <c r="AY1138" s="18"/>
      <c r="BA1138" s="18"/>
      <c r="BC1138" s="18"/>
      <c r="BE1138" s="18"/>
      <c r="BG1138" s="18"/>
      <c r="BI1138" s="18"/>
      <c r="BK1138" s="18"/>
      <c r="BM1138" s="18"/>
      <c r="BO1138" s="18"/>
    </row>
    <row r="1139" spans="30:67">
      <c r="AE1139" s="18"/>
      <c r="AG1139" s="18"/>
      <c r="AI1139" s="18"/>
      <c r="AK1139" s="18"/>
      <c r="AM1139" s="18"/>
      <c r="AO1139" s="18"/>
      <c r="AQ1139" s="18"/>
      <c r="AS1139" s="18"/>
      <c r="AU1139" s="18"/>
      <c r="AW1139" s="18"/>
      <c r="AY1139" s="18"/>
      <c r="BA1139" s="18"/>
      <c r="BC1139" s="18"/>
      <c r="BE1139" s="18"/>
      <c r="BG1139" s="18"/>
      <c r="BI1139" s="18"/>
      <c r="BK1139" s="18"/>
      <c r="BM1139" s="18"/>
      <c r="BO1139" s="18"/>
    </row>
    <row r="1140" spans="30:67">
      <c r="AE1140" s="19"/>
      <c r="AG1140" s="19"/>
      <c r="AI1140" s="19"/>
      <c r="AK1140" s="19"/>
      <c r="AM1140" s="19"/>
      <c r="AO1140" s="19"/>
      <c r="AQ1140" s="19"/>
      <c r="AS1140" s="19"/>
      <c r="AU1140" s="19"/>
      <c r="AW1140" s="19"/>
      <c r="AY1140" s="19"/>
      <c r="BA1140" s="19"/>
      <c r="BC1140" s="19"/>
      <c r="BE1140" s="19"/>
      <c r="BG1140" s="19"/>
      <c r="BI1140" s="19"/>
      <c r="BK1140" s="19"/>
      <c r="BM1140" s="19"/>
      <c r="BO1140" s="19"/>
    </row>
    <row r="1141" spans="30:67">
      <c r="AE1141" s="19"/>
      <c r="AG1141" s="19"/>
      <c r="AI1141" s="19"/>
      <c r="AK1141" s="19"/>
      <c r="AM1141" s="19"/>
      <c r="AO1141" s="19"/>
      <c r="AQ1141" s="19"/>
      <c r="AS1141" s="19"/>
      <c r="AU1141" s="19"/>
      <c r="AW1141" s="19"/>
      <c r="AY1141" s="19"/>
      <c r="BA1141" s="19"/>
      <c r="BC1141" s="19"/>
      <c r="BE1141" s="19"/>
      <c r="BG1141" s="19"/>
      <c r="BI1141" s="19"/>
      <c r="BK1141" s="19"/>
      <c r="BM1141" s="19"/>
      <c r="BO1141" s="19"/>
    </row>
    <row r="1142" spans="30:67">
      <c r="AE1142" s="19"/>
      <c r="AG1142" s="19"/>
      <c r="AI1142" s="19"/>
      <c r="AK1142" s="19"/>
      <c r="AM1142" s="19"/>
      <c r="AO1142" s="19"/>
      <c r="AQ1142" s="19"/>
      <c r="AS1142" s="19"/>
      <c r="AU1142" s="19"/>
      <c r="AW1142" s="19"/>
      <c r="AY1142" s="19"/>
      <c r="BA1142" s="19"/>
      <c r="BC1142" s="19"/>
      <c r="BE1142" s="19"/>
      <c r="BG1142" s="19"/>
      <c r="BI1142" s="19"/>
      <c r="BK1142" s="19"/>
      <c r="BM1142" s="19"/>
      <c r="BO1142" s="19"/>
    </row>
    <row r="1143" spans="30:67">
      <c r="AF1143" s="18"/>
      <c r="AH1143" s="18"/>
      <c r="AJ1143" s="18"/>
      <c r="AL1143" s="18"/>
      <c r="AN1143" s="18"/>
      <c r="AP1143" s="18"/>
      <c r="AR1143" s="18"/>
      <c r="AT1143" s="18"/>
      <c r="AV1143" s="18"/>
      <c r="AX1143" s="18"/>
      <c r="AZ1143" s="18"/>
      <c r="BB1143" s="18"/>
      <c r="BD1143" s="18"/>
      <c r="BF1143" s="18"/>
      <c r="BH1143" s="18"/>
      <c r="BJ1143" s="18"/>
      <c r="BL1143" s="18"/>
      <c r="BN1143" s="18"/>
    </row>
    <row r="1144" spans="30:67">
      <c r="AF1144" s="18"/>
      <c r="AH1144" s="18"/>
      <c r="AJ1144" s="18"/>
      <c r="AL1144" s="18"/>
      <c r="AN1144" s="18"/>
      <c r="AP1144" s="18"/>
      <c r="AR1144" s="18"/>
      <c r="AT1144" s="18"/>
      <c r="AV1144" s="18"/>
      <c r="AX1144" s="18"/>
      <c r="AZ1144" s="18"/>
      <c r="BB1144" s="18"/>
      <c r="BD1144" s="18"/>
      <c r="BF1144" s="18"/>
      <c r="BH1144" s="18"/>
      <c r="BJ1144" s="18"/>
      <c r="BL1144" s="18"/>
      <c r="BN1144" s="18"/>
    </row>
    <row r="1145" spans="30:67">
      <c r="AF1145" s="19"/>
      <c r="AH1145" s="19"/>
      <c r="AJ1145" s="19"/>
      <c r="AL1145" s="19"/>
      <c r="AN1145" s="19"/>
      <c r="AP1145" s="19"/>
      <c r="AR1145" s="19"/>
      <c r="AT1145" s="19"/>
      <c r="AV1145" s="19"/>
      <c r="AX1145" s="19"/>
      <c r="AZ1145" s="19"/>
      <c r="BB1145" s="19"/>
      <c r="BD1145" s="19"/>
      <c r="BF1145" s="19"/>
      <c r="BH1145" s="19"/>
      <c r="BJ1145" s="19"/>
      <c r="BL1145" s="19"/>
      <c r="BN1145" s="19"/>
    </row>
    <row r="1146" spans="30:67">
      <c r="AF1146" s="19"/>
      <c r="AH1146" s="19"/>
      <c r="AJ1146" s="19"/>
      <c r="AL1146" s="19"/>
      <c r="AN1146" s="19"/>
      <c r="AP1146" s="19"/>
      <c r="AR1146" s="19"/>
      <c r="AT1146" s="19"/>
      <c r="AV1146" s="19"/>
      <c r="AX1146" s="19"/>
      <c r="AZ1146" s="19"/>
      <c r="BB1146" s="19"/>
      <c r="BD1146" s="19"/>
      <c r="BF1146" s="19"/>
      <c r="BH1146" s="19"/>
      <c r="BJ1146" s="19"/>
      <c r="BL1146" s="19"/>
      <c r="BN1146" s="19"/>
    </row>
    <row r="1147" spans="30:67">
      <c r="AF1147" s="19"/>
      <c r="AH1147" s="19"/>
      <c r="AJ1147" s="19"/>
      <c r="AL1147" s="19"/>
      <c r="AN1147" s="19"/>
      <c r="AP1147" s="19"/>
      <c r="AR1147" s="19"/>
      <c r="AT1147" s="19"/>
      <c r="AV1147" s="19"/>
      <c r="AX1147" s="19"/>
      <c r="AZ1147" s="19"/>
      <c r="BB1147" s="19"/>
      <c r="BD1147" s="19"/>
      <c r="BF1147" s="19"/>
      <c r="BH1147" s="19"/>
      <c r="BJ1147" s="19"/>
      <c r="BL1147" s="19"/>
      <c r="BN1147" s="19"/>
    </row>
    <row r="1148" spans="30:67">
      <c r="AG1148" s="18"/>
      <c r="AI1148" s="18"/>
      <c r="AK1148" s="18"/>
      <c r="AM1148" s="18"/>
      <c r="AO1148" s="18"/>
      <c r="AQ1148" s="18"/>
      <c r="AS1148" s="18"/>
      <c r="AU1148" s="18"/>
      <c r="AW1148" s="18"/>
      <c r="AY1148" s="18"/>
      <c r="BA1148" s="18"/>
      <c r="BC1148" s="18"/>
      <c r="BE1148" s="18"/>
      <c r="BG1148" s="18"/>
      <c r="BI1148" s="18"/>
      <c r="BK1148" s="18"/>
      <c r="BM1148" s="18"/>
      <c r="BO1148" s="18"/>
    </row>
    <row r="1149" spans="30:67">
      <c r="AG1149" s="18"/>
      <c r="AI1149" s="18"/>
      <c r="AK1149" s="18"/>
      <c r="AM1149" s="18"/>
      <c r="AO1149" s="18"/>
      <c r="AQ1149" s="18"/>
      <c r="AS1149" s="18"/>
      <c r="AU1149" s="18"/>
      <c r="AW1149" s="18"/>
      <c r="AY1149" s="18"/>
      <c r="BA1149" s="18"/>
      <c r="BC1149" s="18"/>
      <c r="BE1149" s="18"/>
      <c r="BG1149" s="18"/>
      <c r="BI1149" s="18"/>
      <c r="BK1149" s="18"/>
      <c r="BM1149" s="18"/>
      <c r="BO1149" s="18"/>
    </row>
    <row r="1150" spans="30:67">
      <c r="AG1150" s="19"/>
      <c r="AI1150" s="19"/>
      <c r="AK1150" s="19"/>
      <c r="AM1150" s="19"/>
      <c r="AO1150" s="19"/>
      <c r="AQ1150" s="19"/>
      <c r="AS1150" s="19"/>
      <c r="AU1150" s="19"/>
      <c r="AW1150" s="19"/>
      <c r="AY1150" s="19"/>
      <c r="BA1150" s="19"/>
      <c r="BC1150" s="19"/>
      <c r="BE1150" s="19"/>
      <c r="BG1150" s="19"/>
      <c r="BI1150" s="19"/>
      <c r="BK1150" s="19"/>
      <c r="BM1150" s="19"/>
      <c r="BO1150" s="19"/>
    </row>
    <row r="1151" spans="30:67">
      <c r="AG1151" s="19"/>
      <c r="AI1151" s="19"/>
      <c r="AK1151" s="19"/>
      <c r="AM1151" s="19"/>
      <c r="AO1151" s="19"/>
      <c r="AQ1151" s="19"/>
      <c r="AS1151" s="19"/>
      <c r="AU1151" s="19"/>
      <c r="AW1151" s="19"/>
      <c r="AY1151" s="19"/>
      <c r="BA1151" s="19"/>
      <c r="BC1151" s="19"/>
      <c r="BE1151" s="19"/>
      <c r="BG1151" s="19"/>
      <c r="BI1151" s="19"/>
      <c r="BK1151" s="19"/>
      <c r="BM1151" s="19"/>
      <c r="BO1151" s="19"/>
    </row>
    <row r="1152" spans="30:67">
      <c r="AG1152" s="19"/>
      <c r="AI1152" s="19"/>
      <c r="AK1152" s="19"/>
      <c r="AM1152" s="19"/>
      <c r="AO1152" s="19"/>
      <c r="AQ1152" s="19"/>
      <c r="AS1152" s="19"/>
      <c r="AU1152" s="19"/>
      <c r="AW1152" s="19"/>
      <c r="AY1152" s="19"/>
      <c r="BA1152" s="19"/>
      <c r="BC1152" s="19"/>
      <c r="BE1152" s="19"/>
      <c r="BG1152" s="19"/>
      <c r="BI1152" s="19"/>
      <c r="BK1152" s="19"/>
      <c r="BM1152" s="19"/>
      <c r="BO1152" s="19"/>
    </row>
    <row r="1153" spans="34:67">
      <c r="AH1153" s="18"/>
      <c r="AJ1153" s="18"/>
      <c r="AL1153" s="18"/>
      <c r="AN1153" s="18"/>
      <c r="AP1153" s="18"/>
      <c r="AR1153" s="18"/>
      <c r="AT1153" s="18"/>
      <c r="AV1153" s="18"/>
      <c r="AX1153" s="18"/>
      <c r="AZ1153" s="18"/>
      <c r="BB1153" s="18"/>
      <c r="BD1153" s="18"/>
      <c r="BF1153" s="18"/>
      <c r="BH1153" s="18"/>
      <c r="BJ1153" s="18"/>
      <c r="BL1153" s="18"/>
      <c r="BN1153" s="18"/>
    </row>
    <row r="1154" spans="34:67">
      <c r="AH1154" s="18"/>
      <c r="AJ1154" s="18"/>
      <c r="AL1154" s="18"/>
      <c r="AN1154" s="18"/>
      <c r="AP1154" s="18"/>
      <c r="AR1154" s="18"/>
      <c r="AT1154" s="18"/>
      <c r="AV1154" s="18"/>
      <c r="AX1154" s="18"/>
      <c r="AZ1154" s="18"/>
      <c r="BB1154" s="18"/>
      <c r="BD1154" s="18"/>
      <c r="BF1154" s="18"/>
      <c r="BH1154" s="18"/>
      <c r="BJ1154" s="18"/>
      <c r="BL1154" s="18"/>
      <c r="BN1154" s="18"/>
    </row>
    <row r="1155" spans="34:67">
      <c r="AH1155" s="19"/>
      <c r="AJ1155" s="19"/>
      <c r="AL1155" s="19"/>
      <c r="AN1155" s="19"/>
      <c r="AP1155" s="19"/>
      <c r="AR1155" s="19"/>
      <c r="AT1155" s="19"/>
      <c r="AV1155" s="19"/>
      <c r="AX1155" s="19"/>
      <c r="AZ1155" s="19"/>
      <c r="BB1155" s="19"/>
      <c r="BD1155" s="19"/>
      <c r="BF1155" s="19"/>
      <c r="BH1155" s="19"/>
      <c r="BJ1155" s="19"/>
      <c r="BL1155" s="19"/>
      <c r="BN1155" s="19"/>
    </row>
    <row r="1156" spans="34:67">
      <c r="AH1156" s="19"/>
      <c r="AJ1156" s="19"/>
      <c r="AL1156" s="19"/>
      <c r="AN1156" s="19"/>
      <c r="AP1156" s="19"/>
      <c r="AR1156" s="19"/>
      <c r="AT1156" s="19"/>
      <c r="AV1156" s="19"/>
      <c r="AX1156" s="19"/>
      <c r="AZ1156" s="19"/>
      <c r="BB1156" s="19"/>
      <c r="BD1156" s="19"/>
      <c r="BF1156" s="19"/>
      <c r="BH1156" s="19"/>
      <c r="BJ1156" s="19"/>
      <c r="BL1156" s="19"/>
      <c r="BN1156" s="19"/>
    </row>
    <row r="1157" spans="34:67">
      <c r="AH1157" s="19"/>
      <c r="AJ1157" s="19"/>
      <c r="AL1157" s="19"/>
      <c r="AN1157" s="19"/>
      <c r="AP1157" s="19"/>
      <c r="AR1157" s="19"/>
      <c r="AT1157" s="19"/>
      <c r="AV1157" s="19"/>
      <c r="AX1157" s="19"/>
      <c r="AZ1157" s="19"/>
      <c r="BB1157" s="19"/>
      <c r="BD1157" s="19"/>
      <c r="BF1157" s="19"/>
      <c r="BH1157" s="19"/>
      <c r="BJ1157" s="19"/>
      <c r="BL1157" s="19"/>
      <c r="BN1157" s="19"/>
    </row>
    <row r="1158" spans="34:67">
      <c r="AI1158" s="18"/>
      <c r="AK1158" s="18"/>
      <c r="AM1158" s="18"/>
      <c r="AO1158" s="18"/>
      <c r="AQ1158" s="18"/>
      <c r="AS1158" s="18"/>
      <c r="AU1158" s="18"/>
      <c r="AW1158" s="18"/>
      <c r="AY1158" s="18"/>
      <c r="BA1158" s="18"/>
      <c r="BC1158" s="18"/>
      <c r="BE1158" s="18"/>
      <c r="BG1158" s="18"/>
      <c r="BI1158" s="18"/>
      <c r="BK1158" s="18"/>
      <c r="BM1158" s="18"/>
      <c r="BO1158" s="18"/>
    </row>
    <row r="1159" spans="34:67">
      <c r="AI1159" s="18"/>
      <c r="AK1159" s="18"/>
      <c r="AM1159" s="18"/>
      <c r="AO1159" s="18"/>
      <c r="AQ1159" s="18"/>
      <c r="AS1159" s="18"/>
      <c r="AU1159" s="18"/>
      <c r="AW1159" s="18"/>
      <c r="AY1159" s="18"/>
      <c r="BA1159" s="18"/>
      <c r="BC1159" s="18"/>
      <c r="BE1159" s="18"/>
      <c r="BG1159" s="18"/>
      <c r="BI1159" s="18"/>
      <c r="BK1159" s="18"/>
      <c r="BM1159" s="18"/>
      <c r="BO1159" s="18"/>
    </row>
    <row r="1160" spans="34:67">
      <c r="AI1160" s="19"/>
      <c r="AK1160" s="19"/>
      <c r="AM1160" s="19"/>
      <c r="AO1160" s="19"/>
      <c r="AQ1160" s="19"/>
      <c r="AS1160" s="19"/>
      <c r="AU1160" s="19"/>
      <c r="AW1160" s="19"/>
      <c r="AY1160" s="19"/>
      <c r="BA1160" s="19"/>
      <c r="BC1160" s="19"/>
      <c r="BE1160" s="19"/>
      <c r="BG1160" s="19"/>
      <c r="BI1160" s="19"/>
      <c r="BK1160" s="19"/>
      <c r="BM1160" s="19"/>
      <c r="BO1160" s="19"/>
    </row>
    <row r="1161" spans="34:67">
      <c r="AI1161" s="19"/>
      <c r="AK1161" s="19"/>
      <c r="AM1161" s="19"/>
      <c r="AO1161" s="19"/>
      <c r="AQ1161" s="19"/>
      <c r="AS1161" s="19"/>
      <c r="AU1161" s="19"/>
      <c r="AW1161" s="19"/>
      <c r="AY1161" s="19"/>
      <c r="BA1161" s="19"/>
      <c r="BC1161" s="19"/>
      <c r="BE1161" s="19"/>
      <c r="BG1161" s="19"/>
      <c r="BI1161" s="19"/>
      <c r="BK1161" s="19"/>
      <c r="BM1161" s="19"/>
      <c r="BO1161" s="19"/>
    </row>
    <row r="1162" spans="34:67">
      <c r="AI1162" s="19"/>
      <c r="AK1162" s="19"/>
      <c r="AM1162" s="19"/>
      <c r="AO1162" s="19"/>
      <c r="AQ1162" s="19"/>
      <c r="AS1162" s="19"/>
      <c r="AU1162" s="19"/>
      <c r="AW1162" s="19"/>
      <c r="AY1162" s="19"/>
      <c r="BA1162" s="19"/>
      <c r="BC1162" s="19"/>
      <c r="BE1162" s="19"/>
      <c r="BG1162" s="19"/>
      <c r="BI1162" s="19"/>
      <c r="BK1162" s="19"/>
      <c r="BM1162" s="19"/>
      <c r="BO1162" s="19"/>
    </row>
    <row r="1163" spans="34:67">
      <c r="AJ1163" s="18"/>
      <c r="AL1163" s="18"/>
      <c r="AN1163" s="18"/>
      <c r="AP1163" s="18"/>
      <c r="AR1163" s="18"/>
      <c r="AT1163" s="18"/>
      <c r="AV1163" s="18"/>
      <c r="AX1163" s="18"/>
      <c r="AZ1163" s="18"/>
      <c r="BB1163" s="18"/>
      <c r="BD1163" s="18"/>
      <c r="BF1163" s="18"/>
      <c r="BH1163" s="18"/>
      <c r="BJ1163" s="18"/>
      <c r="BL1163" s="18"/>
      <c r="BN1163" s="18"/>
    </row>
    <row r="1164" spans="34:67">
      <c r="AJ1164" s="18"/>
      <c r="AL1164" s="18"/>
      <c r="AN1164" s="18"/>
      <c r="AP1164" s="18"/>
      <c r="AR1164" s="18"/>
      <c r="AT1164" s="18"/>
      <c r="AV1164" s="18"/>
      <c r="AX1164" s="18"/>
      <c r="AZ1164" s="18"/>
      <c r="BB1164" s="18"/>
      <c r="BD1164" s="18"/>
      <c r="BF1164" s="18"/>
      <c r="BH1164" s="18"/>
      <c r="BJ1164" s="18"/>
      <c r="BL1164" s="18"/>
      <c r="BN1164" s="18"/>
    </row>
    <row r="1165" spans="34:67">
      <c r="AJ1165" s="19"/>
      <c r="AL1165" s="19"/>
      <c r="AN1165" s="19"/>
      <c r="AP1165" s="19"/>
      <c r="AR1165" s="19"/>
      <c r="AT1165" s="19"/>
      <c r="AV1165" s="19"/>
      <c r="AX1165" s="19"/>
      <c r="AZ1165" s="19"/>
      <c r="BB1165" s="19"/>
      <c r="BD1165" s="19"/>
      <c r="BF1165" s="19"/>
      <c r="BH1165" s="19"/>
      <c r="BJ1165" s="19"/>
      <c r="BL1165" s="19"/>
      <c r="BN1165" s="19"/>
    </row>
    <row r="1166" spans="34:67">
      <c r="AJ1166" s="19"/>
      <c r="AL1166" s="19"/>
      <c r="AN1166" s="19"/>
      <c r="AP1166" s="19"/>
      <c r="AR1166" s="19"/>
      <c r="AT1166" s="19"/>
      <c r="AV1166" s="19"/>
      <c r="AX1166" s="19"/>
      <c r="AZ1166" s="19"/>
      <c r="BB1166" s="19"/>
      <c r="BD1166" s="19"/>
      <c r="BF1166" s="19"/>
      <c r="BH1166" s="19"/>
      <c r="BJ1166" s="19"/>
      <c r="BL1166" s="19"/>
      <c r="BN1166" s="19"/>
    </row>
    <row r="1167" spans="34:67">
      <c r="AJ1167" s="19"/>
      <c r="AL1167" s="19"/>
      <c r="AN1167" s="19"/>
      <c r="AP1167" s="19"/>
      <c r="AR1167" s="19"/>
      <c r="AT1167" s="19"/>
      <c r="AV1167" s="19"/>
      <c r="AX1167" s="19"/>
      <c r="AZ1167" s="19"/>
      <c r="BB1167" s="19"/>
      <c r="BD1167" s="19"/>
      <c r="BF1167" s="19"/>
      <c r="BH1167" s="19"/>
      <c r="BJ1167" s="19"/>
      <c r="BL1167" s="19"/>
      <c r="BN1167" s="19"/>
    </row>
    <row r="1168" spans="34:67">
      <c r="AK1168" s="18"/>
      <c r="AM1168" s="18"/>
      <c r="AO1168" s="18"/>
      <c r="AQ1168" s="18"/>
      <c r="AS1168" s="18"/>
      <c r="AU1168" s="18"/>
      <c r="AW1168" s="18"/>
      <c r="AY1168" s="18"/>
      <c r="BA1168" s="18"/>
      <c r="BC1168" s="18"/>
      <c r="BE1168" s="18"/>
      <c r="BG1168" s="18"/>
      <c r="BI1168" s="18"/>
      <c r="BK1168" s="18"/>
      <c r="BM1168" s="18"/>
      <c r="BO1168" s="18"/>
    </row>
    <row r="1169" spans="37:67">
      <c r="AK1169" s="18"/>
      <c r="AM1169" s="18"/>
      <c r="AO1169" s="18"/>
      <c r="AQ1169" s="18"/>
      <c r="AS1169" s="18"/>
      <c r="AU1169" s="18"/>
      <c r="AW1169" s="18"/>
      <c r="AY1169" s="18"/>
      <c r="BA1169" s="18"/>
      <c r="BC1169" s="18"/>
      <c r="BE1169" s="18"/>
      <c r="BG1169" s="18"/>
      <c r="BI1169" s="18"/>
      <c r="BK1169" s="18"/>
      <c r="BM1169" s="18"/>
      <c r="BO1169" s="18"/>
    </row>
    <row r="1170" spans="37:67">
      <c r="AK1170" s="19"/>
      <c r="AM1170" s="19"/>
      <c r="AO1170" s="19"/>
      <c r="AQ1170" s="19"/>
      <c r="AS1170" s="19"/>
      <c r="AU1170" s="19"/>
      <c r="AW1170" s="19"/>
      <c r="AY1170" s="19"/>
      <c r="BA1170" s="19"/>
      <c r="BC1170" s="19"/>
      <c r="BE1170" s="19"/>
      <c r="BG1170" s="19"/>
      <c r="BI1170" s="19"/>
      <c r="BK1170" s="19"/>
      <c r="BM1170" s="19"/>
      <c r="BO1170" s="19"/>
    </row>
    <row r="1171" spans="37:67">
      <c r="AK1171" s="19"/>
      <c r="AM1171" s="19"/>
      <c r="AO1171" s="19"/>
      <c r="AQ1171" s="19"/>
      <c r="AS1171" s="19"/>
      <c r="AU1171" s="19"/>
      <c r="AW1171" s="19"/>
      <c r="AY1171" s="19"/>
      <c r="BA1171" s="19"/>
      <c r="BC1171" s="19"/>
      <c r="BE1171" s="19"/>
      <c r="BG1171" s="19"/>
      <c r="BI1171" s="19"/>
      <c r="BK1171" s="19"/>
      <c r="BM1171" s="19"/>
      <c r="BO1171" s="19"/>
    </row>
    <row r="1172" spans="37:67">
      <c r="AK1172" s="19"/>
      <c r="AM1172" s="19"/>
      <c r="AO1172" s="19"/>
      <c r="AQ1172" s="19"/>
      <c r="AS1172" s="19"/>
      <c r="AU1172" s="19"/>
      <c r="AW1172" s="19"/>
      <c r="AY1172" s="19"/>
      <c r="BA1172" s="19"/>
      <c r="BC1172" s="19"/>
      <c r="BE1172" s="19"/>
      <c r="BG1172" s="19"/>
      <c r="BI1172" s="19"/>
      <c r="BK1172" s="19"/>
      <c r="BM1172" s="19"/>
      <c r="BO1172" s="19"/>
    </row>
    <row r="1173" spans="37:67">
      <c r="AL1173" s="18"/>
      <c r="AN1173" s="18"/>
      <c r="AP1173" s="18"/>
      <c r="AR1173" s="18"/>
      <c r="AT1173" s="18"/>
      <c r="AV1173" s="18"/>
      <c r="AX1173" s="18"/>
      <c r="AZ1173" s="18"/>
      <c r="BB1173" s="18"/>
      <c r="BD1173" s="18"/>
      <c r="BF1173" s="18"/>
      <c r="BH1173" s="18"/>
      <c r="BJ1173" s="18"/>
      <c r="BL1173" s="18"/>
      <c r="BN1173" s="18"/>
    </row>
    <row r="1174" spans="37:67">
      <c r="AL1174" s="18"/>
      <c r="AN1174" s="18"/>
      <c r="AP1174" s="18"/>
      <c r="AR1174" s="18"/>
      <c r="AT1174" s="18"/>
      <c r="AV1174" s="18"/>
      <c r="AX1174" s="18"/>
      <c r="AZ1174" s="18"/>
      <c r="BB1174" s="18"/>
      <c r="BD1174" s="18"/>
      <c r="BF1174" s="18"/>
      <c r="BH1174" s="18"/>
      <c r="BJ1174" s="18"/>
      <c r="BL1174" s="18"/>
      <c r="BN1174" s="18"/>
    </row>
    <row r="1175" spans="37:67">
      <c r="AL1175" s="19"/>
      <c r="AN1175" s="19"/>
      <c r="AP1175" s="19"/>
      <c r="AR1175" s="19"/>
      <c r="AT1175" s="19"/>
      <c r="AV1175" s="19"/>
      <c r="AX1175" s="19"/>
      <c r="AZ1175" s="19"/>
      <c r="BB1175" s="19"/>
      <c r="BD1175" s="19"/>
      <c r="BF1175" s="19"/>
      <c r="BH1175" s="19"/>
      <c r="BJ1175" s="19"/>
      <c r="BL1175" s="19"/>
      <c r="BN1175" s="19"/>
    </row>
    <row r="1176" spans="37:67">
      <c r="AL1176" s="19"/>
      <c r="AN1176" s="19"/>
      <c r="AP1176" s="19"/>
      <c r="AR1176" s="19"/>
      <c r="AT1176" s="19"/>
      <c r="AV1176" s="19"/>
      <c r="AX1176" s="19"/>
      <c r="AZ1176" s="19"/>
      <c r="BB1176" s="19"/>
      <c r="BD1176" s="19"/>
      <c r="BF1176" s="19"/>
      <c r="BH1176" s="19"/>
      <c r="BJ1176" s="19"/>
      <c r="BL1176" s="19"/>
      <c r="BN1176" s="19"/>
    </row>
    <row r="1177" spans="37:67">
      <c r="AL1177" s="19"/>
      <c r="AN1177" s="19"/>
      <c r="AP1177" s="19"/>
      <c r="AR1177" s="19"/>
      <c r="AT1177" s="19"/>
      <c r="AV1177" s="19"/>
      <c r="AX1177" s="19"/>
      <c r="AZ1177" s="19"/>
      <c r="BB1177" s="19"/>
      <c r="BD1177" s="19"/>
      <c r="BF1177" s="19"/>
      <c r="BH1177" s="19"/>
      <c r="BJ1177" s="19"/>
      <c r="BL1177" s="19"/>
      <c r="BN1177" s="19"/>
    </row>
    <row r="1178" spans="37:67">
      <c r="AM1178" s="18"/>
      <c r="AO1178" s="18"/>
      <c r="AQ1178" s="18"/>
      <c r="AS1178" s="18"/>
      <c r="AU1178" s="18"/>
      <c r="AW1178" s="18"/>
      <c r="AY1178" s="18"/>
      <c r="BA1178" s="18"/>
      <c r="BC1178" s="18"/>
      <c r="BE1178" s="18"/>
      <c r="BG1178" s="18"/>
      <c r="BI1178" s="18"/>
      <c r="BK1178" s="18"/>
      <c r="BM1178" s="18"/>
      <c r="BO1178" s="18"/>
    </row>
    <row r="1179" spans="37:67">
      <c r="AM1179" s="18"/>
      <c r="AO1179" s="18"/>
      <c r="AQ1179" s="18"/>
      <c r="AS1179" s="18"/>
      <c r="AU1179" s="18"/>
      <c r="AW1179" s="18"/>
      <c r="AY1179" s="18"/>
      <c r="BA1179" s="18"/>
      <c r="BC1179" s="18"/>
      <c r="BE1179" s="18"/>
      <c r="BG1179" s="18"/>
      <c r="BI1179" s="18"/>
      <c r="BK1179" s="18"/>
      <c r="BM1179" s="18"/>
      <c r="BO1179" s="18"/>
    </row>
    <row r="1180" spans="37:67">
      <c r="AM1180" s="19"/>
      <c r="AO1180" s="19"/>
      <c r="AQ1180" s="19"/>
      <c r="AS1180" s="19"/>
      <c r="AU1180" s="19"/>
      <c r="AW1180" s="19"/>
      <c r="AY1180" s="19"/>
      <c r="BA1180" s="19"/>
      <c r="BC1180" s="19"/>
      <c r="BE1180" s="19"/>
      <c r="BG1180" s="19"/>
      <c r="BI1180" s="19"/>
      <c r="BK1180" s="19"/>
      <c r="BM1180" s="19"/>
      <c r="BO1180" s="19"/>
    </row>
    <row r="1181" spans="37:67">
      <c r="AM1181" s="19"/>
      <c r="AO1181" s="19"/>
      <c r="AQ1181" s="19"/>
      <c r="AS1181" s="19"/>
      <c r="AU1181" s="19"/>
      <c r="AW1181" s="19"/>
      <c r="AY1181" s="19"/>
      <c r="BA1181" s="19"/>
      <c r="BC1181" s="19"/>
      <c r="BE1181" s="19"/>
      <c r="BG1181" s="19"/>
      <c r="BI1181" s="19"/>
      <c r="BK1181" s="19"/>
      <c r="BM1181" s="19"/>
      <c r="BO1181" s="19"/>
    </row>
    <row r="1182" spans="37:67">
      <c r="AM1182" s="19"/>
      <c r="AO1182" s="19"/>
      <c r="AQ1182" s="19"/>
      <c r="AS1182" s="19"/>
      <c r="AU1182" s="19"/>
      <c r="AW1182" s="19"/>
      <c r="AY1182" s="19"/>
      <c r="BA1182" s="19"/>
      <c r="BC1182" s="19"/>
      <c r="BE1182" s="19"/>
      <c r="BG1182" s="19"/>
      <c r="BI1182" s="19"/>
      <c r="BK1182" s="19"/>
      <c r="BM1182" s="19"/>
      <c r="BO1182" s="19"/>
    </row>
    <row r="1183" spans="37:67">
      <c r="AN1183" s="18"/>
      <c r="AP1183" s="18"/>
      <c r="AR1183" s="18"/>
      <c r="AT1183" s="18"/>
      <c r="AV1183" s="18"/>
      <c r="AX1183" s="18"/>
      <c r="AZ1183" s="18"/>
      <c r="BB1183" s="18"/>
      <c r="BD1183" s="18"/>
      <c r="BF1183" s="18"/>
      <c r="BH1183" s="18"/>
      <c r="BJ1183" s="18"/>
      <c r="BL1183" s="18"/>
      <c r="BN1183" s="18"/>
    </row>
    <row r="1184" spans="37:67">
      <c r="AN1184" s="18"/>
      <c r="AP1184" s="18"/>
      <c r="AR1184" s="18"/>
      <c r="AT1184" s="18"/>
      <c r="AV1184" s="18"/>
      <c r="AX1184" s="18"/>
      <c r="AZ1184" s="18"/>
      <c r="BB1184" s="18"/>
      <c r="BD1184" s="18"/>
      <c r="BF1184" s="18"/>
      <c r="BH1184" s="18"/>
      <c r="BJ1184" s="18"/>
      <c r="BL1184" s="18"/>
      <c r="BN1184" s="18"/>
    </row>
    <row r="1185" spans="40:67">
      <c r="AN1185" s="19"/>
      <c r="AP1185" s="19"/>
      <c r="AR1185" s="19"/>
      <c r="AT1185" s="19"/>
      <c r="AV1185" s="19"/>
      <c r="AX1185" s="19"/>
      <c r="AZ1185" s="19"/>
      <c r="BB1185" s="19"/>
      <c r="BD1185" s="19"/>
      <c r="BF1185" s="19"/>
      <c r="BH1185" s="19"/>
      <c r="BJ1185" s="19"/>
      <c r="BL1185" s="19"/>
      <c r="BN1185" s="19"/>
    </row>
    <row r="1186" spans="40:67">
      <c r="AN1186" s="19"/>
      <c r="AP1186" s="19"/>
      <c r="AR1186" s="19"/>
      <c r="AT1186" s="19"/>
      <c r="AV1186" s="19"/>
      <c r="AX1186" s="19"/>
      <c r="AZ1186" s="19"/>
      <c r="BB1186" s="19"/>
      <c r="BD1186" s="19"/>
      <c r="BF1186" s="19"/>
      <c r="BH1186" s="19"/>
      <c r="BJ1186" s="19"/>
      <c r="BL1186" s="19"/>
      <c r="BN1186" s="19"/>
    </row>
    <row r="1187" spans="40:67">
      <c r="AN1187" s="19"/>
      <c r="AP1187" s="19"/>
      <c r="AR1187" s="19"/>
      <c r="AT1187" s="19"/>
      <c r="AV1187" s="19"/>
      <c r="AX1187" s="19"/>
      <c r="AZ1187" s="19"/>
      <c r="BB1187" s="19"/>
      <c r="BD1187" s="19"/>
      <c r="BF1187" s="19"/>
      <c r="BH1187" s="19"/>
      <c r="BJ1187" s="19"/>
      <c r="BL1187" s="19"/>
      <c r="BN1187" s="19"/>
    </row>
    <row r="1188" spans="40:67">
      <c r="AO1188" s="18"/>
      <c r="AQ1188" s="18"/>
      <c r="AS1188" s="18"/>
      <c r="AU1188" s="18"/>
      <c r="AW1188" s="18"/>
      <c r="AY1188" s="18"/>
      <c r="BA1188" s="18"/>
      <c r="BC1188" s="18"/>
      <c r="BE1188" s="18"/>
      <c r="BG1188" s="18"/>
      <c r="BI1188" s="18"/>
      <c r="BK1188" s="18"/>
      <c r="BM1188" s="18"/>
      <c r="BO1188" s="18"/>
    </row>
    <row r="1189" spans="40:67">
      <c r="AO1189" s="18"/>
      <c r="AQ1189" s="18"/>
      <c r="AS1189" s="18"/>
      <c r="AU1189" s="18"/>
      <c r="AW1189" s="18"/>
      <c r="AY1189" s="18"/>
      <c r="BA1189" s="18"/>
      <c r="BC1189" s="18"/>
      <c r="BE1189" s="18"/>
      <c r="BG1189" s="18"/>
      <c r="BI1189" s="18"/>
      <c r="BK1189" s="18"/>
      <c r="BM1189" s="18"/>
      <c r="BO1189" s="18"/>
    </row>
    <row r="1190" spans="40:67">
      <c r="AO1190" s="19"/>
      <c r="AQ1190" s="19"/>
      <c r="AS1190" s="19"/>
      <c r="AU1190" s="19"/>
      <c r="AW1190" s="19"/>
      <c r="AY1190" s="19"/>
      <c r="BA1190" s="19"/>
      <c r="BC1190" s="19"/>
      <c r="BE1190" s="19"/>
      <c r="BG1190" s="19"/>
      <c r="BI1190" s="19"/>
      <c r="BK1190" s="19"/>
      <c r="BM1190" s="19"/>
      <c r="BO1190" s="19"/>
    </row>
    <row r="1191" spans="40:67">
      <c r="AO1191" s="19"/>
      <c r="AQ1191" s="19"/>
      <c r="AS1191" s="19"/>
      <c r="AU1191" s="19"/>
      <c r="AW1191" s="19"/>
      <c r="AY1191" s="19"/>
      <c r="BA1191" s="19"/>
      <c r="BC1191" s="19"/>
      <c r="BE1191" s="19"/>
      <c r="BG1191" s="19"/>
      <c r="BI1191" s="19"/>
      <c r="BK1191" s="19"/>
      <c r="BM1191" s="19"/>
      <c r="BO1191" s="19"/>
    </row>
    <row r="1192" spans="40:67">
      <c r="AO1192" s="19"/>
      <c r="AQ1192" s="19"/>
      <c r="AS1192" s="19"/>
      <c r="AU1192" s="19"/>
      <c r="AW1192" s="19"/>
      <c r="AY1192" s="19"/>
      <c r="BA1192" s="19"/>
      <c r="BC1192" s="19"/>
      <c r="BE1192" s="19"/>
      <c r="BG1192" s="19"/>
      <c r="BI1192" s="19"/>
      <c r="BK1192" s="19"/>
      <c r="BM1192" s="19"/>
      <c r="BO1192" s="19"/>
    </row>
    <row r="1193" spans="40:67">
      <c r="AP1193" s="18"/>
      <c r="AR1193" s="18"/>
      <c r="AT1193" s="18"/>
      <c r="AV1193" s="18"/>
      <c r="AX1193" s="18"/>
      <c r="AZ1193" s="18"/>
      <c r="BB1193" s="18"/>
      <c r="BD1193" s="18"/>
      <c r="BF1193" s="18"/>
      <c r="BH1193" s="18"/>
      <c r="BJ1193" s="18"/>
      <c r="BL1193" s="18"/>
      <c r="BN1193" s="18"/>
    </row>
    <row r="1194" spans="40:67">
      <c r="AP1194" s="18"/>
      <c r="AR1194" s="18"/>
      <c r="AT1194" s="18"/>
      <c r="AV1194" s="18"/>
      <c r="AX1194" s="18"/>
      <c r="AZ1194" s="18"/>
      <c r="BB1194" s="18"/>
      <c r="BD1194" s="18"/>
      <c r="BF1194" s="18"/>
      <c r="BH1194" s="18"/>
      <c r="BJ1194" s="18"/>
      <c r="BL1194" s="18"/>
      <c r="BN1194" s="18"/>
    </row>
    <row r="1195" spans="40:67">
      <c r="AP1195" s="19"/>
      <c r="AR1195" s="19"/>
      <c r="AT1195" s="19"/>
      <c r="AV1195" s="19"/>
      <c r="AX1195" s="19"/>
      <c r="AZ1195" s="19"/>
      <c r="BB1195" s="19"/>
      <c r="BD1195" s="19"/>
      <c r="BF1195" s="19"/>
      <c r="BH1195" s="19"/>
      <c r="BJ1195" s="19"/>
      <c r="BL1195" s="19"/>
      <c r="BN1195" s="19"/>
    </row>
    <row r="1196" spans="40:67">
      <c r="AP1196" s="19"/>
      <c r="AR1196" s="19"/>
      <c r="AT1196" s="19"/>
      <c r="AV1196" s="19"/>
      <c r="AX1196" s="19"/>
      <c r="AZ1196" s="19"/>
      <c r="BB1196" s="19"/>
      <c r="BD1196" s="19"/>
      <c r="BF1196" s="19"/>
      <c r="BH1196" s="19"/>
      <c r="BJ1196" s="19"/>
      <c r="BL1196" s="19"/>
      <c r="BN1196" s="19"/>
    </row>
    <row r="1197" spans="40:67">
      <c r="AP1197" s="19"/>
      <c r="AR1197" s="19"/>
      <c r="AT1197" s="19"/>
      <c r="AV1197" s="19"/>
      <c r="AX1197" s="19"/>
      <c r="AZ1197" s="19"/>
      <c r="BB1197" s="19"/>
      <c r="BD1197" s="19"/>
      <c r="BF1197" s="19"/>
      <c r="BH1197" s="19"/>
      <c r="BJ1197" s="19"/>
      <c r="BL1197" s="19"/>
      <c r="BN1197" s="19"/>
    </row>
    <row r="1198" spans="40:67">
      <c r="AQ1198" s="18"/>
      <c r="AS1198" s="18"/>
      <c r="AU1198" s="18"/>
      <c r="AW1198" s="18"/>
      <c r="AY1198" s="18"/>
      <c r="BA1198" s="18"/>
      <c r="BC1198" s="18"/>
      <c r="BE1198" s="18"/>
      <c r="BG1198" s="18"/>
      <c r="BI1198" s="18"/>
      <c r="BK1198" s="18"/>
      <c r="BM1198" s="18"/>
      <c r="BO1198" s="18"/>
    </row>
    <row r="1199" spans="40:67">
      <c r="AQ1199" s="18"/>
      <c r="AS1199" s="18"/>
      <c r="AU1199" s="18"/>
      <c r="AW1199" s="18"/>
      <c r="AY1199" s="18"/>
      <c r="BA1199" s="18"/>
      <c r="BC1199" s="18"/>
      <c r="BE1199" s="18"/>
      <c r="BG1199" s="18"/>
      <c r="BI1199" s="18"/>
      <c r="BK1199" s="18"/>
      <c r="BM1199" s="18"/>
      <c r="BO1199" s="18"/>
    </row>
    <row r="1200" spans="40:67">
      <c r="AQ1200" s="19"/>
      <c r="AS1200" s="19"/>
      <c r="AU1200" s="19"/>
      <c r="AW1200" s="19"/>
      <c r="AY1200" s="19"/>
      <c r="BA1200" s="19"/>
      <c r="BC1200" s="19"/>
      <c r="BE1200" s="19"/>
      <c r="BG1200" s="19"/>
      <c r="BI1200" s="19"/>
      <c r="BK1200" s="19"/>
      <c r="BM1200" s="19"/>
      <c r="BO1200" s="19"/>
    </row>
    <row r="1201" spans="43:67">
      <c r="AQ1201" s="19"/>
      <c r="AS1201" s="19"/>
      <c r="AU1201" s="19"/>
      <c r="AW1201" s="19"/>
      <c r="AY1201" s="19"/>
      <c r="BA1201" s="19"/>
      <c r="BC1201" s="19"/>
      <c r="BE1201" s="19"/>
      <c r="BG1201" s="19"/>
      <c r="BI1201" s="19"/>
      <c r="BK1201" s="19"/>
      <c r="BM1201" s="19"/>
      <c r="BO1201" s="19"/>
    </row>
    <row r="1202" spans="43:67">
      <c r="AQ1202" s="19"/>
      <c r="AS1202" s="19"/>
      <c r="AU1202" s="19"/>
      <c r="AW1202" s="19"/>
      <c r="AY1202" s="19"/>
      <c r="BA1202" s="19"/>
      <c r="BC1202" s="19"/>
      <c r="BE1202" s="19"/>
      <c r="BG1202" s="19"/>
      <c r="BI1202" s="19"/>
      <c r="BK1202" s="19"/>
      <c r="BM1202" s="19"/>
      <c r="BO1202" s="19"/>
    </row>
    <row r="1203" spans="43:67">
      <c r="AR1203" s="18"/>
      <c r="AT1203" s="18"/>
      <c r="AV1203" s="18"/>
      <c r="AX1203" s="18"/>
      <c r="AZ1203" s="18"/>
      <c r="BB1203" s="18"/>
      <c r="BD1203" s="18"/>
      <c r="BF1203" s="18"/>
      <c r="BH1203" s="18"/>
      <c r="BJ1203" s="18"/>
      <c r="BL1203" s="18"/>
      <c r="BN1203" s="18"/>
    </row>
    <row r="1204" spans="43:67">
      <c r="AR1204" s="18"/>
      <c r="AT1204" s="18"/>
      <c r="AV1204" s="18"/>
      <c r="AX1204" s="18"/>
      <c r="AZ1204" s="18"/>
      <c r="BB1204" s="18"/>
      <c r="BD1204" s="18"/>
      <c r="BF1204" s="18"/>
      <c r="BH1204" s="18"/>
      <c r="BJ1204" s="18"/>
      <c r="BL1204" s="18"/>
      <c r="BN1204" s="18"/>
    </row>
    <row r="1205" spans="43:67">
      <c r="AR1205" s="19"/>
      <c r="AT1205" s="19"/>
      <c r="AV1205" s="19"/>
      <c r="AX1205" s="19"/>
      <c r="AZ1205" s="19"/>
      <c r="BB1205" s="19"/>
      <c r="BD1205" s="19"/>
      <c r="BF1205" s="19"/>
      <c r="BH1205" s="19"/>
      <c r="BJ1205" s="19"/>
      <c r="BL1205" s="19"/>
      <c r="BN1205" s="19"/>
    </row>
    <row r="1206" spans="43:67">
      <c r="AR1206" s="19"/>
      <c r="AT1206" s="19"/>
      <c r="AV1206" s="19"/>
      <c r="AX1206" s="19"/>
      <c r="AZ1206" s="19"/>
      <c r="BB1206" s="19"/>
      <c r="BD1206" s="19"/>
      <c r="BF1206" s="19"/>
      <c r="BH1206" s="19"/>
      <c r="BJ1206" s="19"/>
      <c r="BL1206" s="19"/>
      <c r="BN1206" s="19"/>
    </row>
    <row r="1207" spans="43:67">
      <c r="AR1207" s="19"/>
      <c r="AT1207" s="19"/>
      <c r="AV1207" s="19"/>
      <c r="AX1207" s="19"/>
      <c r="AZ1207" s="19"/>
      <c r="BB1207" s="19"/>
      <c r="BD1207" s="19"/>
      <c r="BF1207" s="19"/>
      <c r="BH1207" s="19"/>
      <c r="BJ1207" s="19"/>
      <c r="BL1207" s="19"/>
      <c r="BN1207" s="19"/>
    </row>
    <row r="1208" spans="43:67">
      <c r="AS1208" s="18"/>
      <c r="AU1208" s="18"/>
      <c r="AW1208" s="18"/>
      <c r="AY1208" s="18"/>
      <c r="BA1208" s="18"/>
      <c r="BC1208" s="18"/>
      <c r="BE1208" s="18"/>
      <c r="BG1208" s="18"/>
      <c r="BI1208" s="18"/>
      <c r="BK1208" s="18"/>
      <c r="BM1208" s="18"/>
      <c r="BO1208" s="18"/>
    </row>
    <row r="1209" spans="43:67">
      <c r="AS1209" s="18"/>
      <c r="AU1209" s="18"/>
      <c r="AW1209" s="18"/>
      <c r="AY1209" s="18"/>
      <c r="BA1209" s="18"/>
      <c r="BC1209" s="18"/>
      <c r="BE1209" s="18"/>
      <c r="BG1209" s="18"/>
      <c r="BI1209" s="18"/>
      <c r="BK1209" s="18"/>
      <c r="BM1209" s="18"/>
      <c r="BO1209" s="18"/>
    </row>
    <row r="1210" spans="43:67">
      <c r="AS1210" s="19"/>
      <c r="AU1210" s="19"/>
      <c r="AW1210" s="19"/>
      <c r="AY1210" s="19"/>
      <c r="BA1210" s="19"/>
      <c r="BC1210" s="19"/>
      <c r="BE1210" s="19"/>
      <c r="BG1210" s="19"/>
      <c r="BI1210" s="19"/>
      <c r="BK1210" s="19"/>
      <c r="BM1210" s="19"/>
      <c r="BO1210" s="19"/>
    </row>
    <row r="1211" spans="43:67">
      <c r="AS1211" s="19"/>
      <c r="AU1211" s="19"/>
      <c r="AW1211" s="19"/>
      <c r="AY1211" s="19"/>
      <c r="BA1211" s="19"/>
      <c r="BC1211" s="19"/>
      <c r="BE1211" s="19"/>
      <c r="BG1211" s="19"/>
      <c r="BI1211" s="19"/>
      <c r="BK1211" s="19"/>
      <c r="BM1211" s="19"/>
      <c r="BO1211" s="19"/>
    </row>
    <row r="1212" spans="43:67">
      <c r="AS1212" s="19"/>
      <c r="AU1212" s="19"/>
      <c r="AW1212" s="19"/>
      <c r="AY1212" s="19"/>
      <c r="BA1212" s="19"/>
      <c r="BC1212" s="19"/>
      <c r="BE1212" s="19"/>
      <c r="BG1212" s="19"/>
      <c r="BI1212" s="19"/>
      <c r="BK1212" s="19"/>
      <c r="BM1212" s="19"/>
      <c r="BO1212" s="19"/>
    </row>
    <row r="1213" spans="43:67">
      <c r="AT1213" s="18"/>
      <c r="AV1213" s="18"/>
      <c r="AX1213" s="18"/>
      <c r="AZ1213" s="18"/>
      <c r="BB1213" s="18"/>
      <c r="BD1213" s="18"/>
      <c r="BF1213" s="18"/>
      <c r="BH1213" s="18"/>
      <c r="BJ1213" s="18"/>
      <c r="BL1213" s="18"/>
      <c r="BN1213" s="18"/>
    </row>
    <row r="1214" spans="43:67">
      <c r="AT1214" s="18"/>
      <c r="AV1214" s="18"/>
      <c r="AX1214" s="18"/>
      <c r="AZ1214" s="18"/>
      <c r="BB1214" s="18"/>
      <c r="BD1214" s="18"/>
      <c r="BF1214" s="18"/>
      <c r="BH1214" s="18"/>
      <c r="BJ1214" s="18"/>
      <c r="BL1214" s="18"/>
      <c r="BN1214" s="18"/>
    </row>
    <row r="1215" spans="43:67">
      <c r="AT1215" s="19"/>
      <c r="AV1215" s="19"/>
      <c r="AX1215" s="19"/>
      <c r="AZ1215" s="19"/>
      <c r="BB1215" s="19"/>
      <c r="BD1215" s="19"/>
      <c r="BF1215" s="19"/>
      <c r="BH1215" s="19"/>
      <c r="BJ1215" s="19"/>
      <c r="BL1215" s="19"/>
      <c r="BN1215" s="19"/>
    </row>
    <row r="1216" spans="43:67">
      <c r="AT1216" s="19"/>
      <c r="AV1216" s="19"/>
      <c r="AX1216" s="19"/>
      <c r="AZ1216" s="19"/>
      <c r="BB1216" s="19"/>
      <c r="BD1216" s="19"/>
      <c r="BF1216" s="19"/>
      <c r="BH1216" s="19"/>
      <c r="BJ1216" s="19"/>
      <c r="BL1216" s="19"/>
      <c r="BN1216" s="19"/>
    </row>
    <row r="1217" spans="46:67">
      <c r="AT1217" s="19"/>
      <c r="AV1217" s="19"/>
      <c r="AX1217" s="19"/>
      <c r="AZ1217" s="19"/>
      <c r="BB1217" s="19"/>
      <c r="BD1217" s="19"/>
      <c r="BF1217" s="19"/>
      <c r="BH1217" s="19"/>
      <c r="BJ1217" s="19"/>
      <c r="BL1217" s="19"/>
      <c r="BN1217" s="19"/>
    </row>
    <row r="1218" spans="46:67">
      <c r="AW1218" s="18"/>
      <c r="AY1218" s="18"/>
      <c r="BA1218" s="18"/>
      <c r="BC1218" s="18"/>
      <c r="BE1218" s="18"/>
      <c r="BG1218" s="18"/>
      <c r="BI1218" s="18"/>
      <c r="BK1218" s="18"/>
      <c r="BM1218" s="18"/>
      <c r="BO1218" s="18"/>
    </row>
    <row r="1219" spans="46:67">
      <c r="AW1219" s="18"/>
      <c r="AY1219" s="18"/>
      <c r="BA1219" s="18"/>
      <c r="BC1219" s="18"/>
      <c r="BE1219" s="18"/>
      <c r="BG1219" s="18"/>
      <c r="BI1219" s="18"/>
      <c r="BK1219" s="18"/>
      <c r="BM1219" s="18"/>
      <c r="BO1219" s="18"/>
    </row>
    <row r="1220" spans="46:67">
      <c r="AW1220" s="19"/>
      <c r="AY1220" s="19"/>
      <c r="BA1220" s="19"/>
      <c r="BC1220" s="19"/>
      <c r="BE1220" s="19"/>
      <c r="BG1220" s="19"/>
      <c r="BI1220" s="19"/>
      <c r="BK1220" s="19"/>
      <c r="BM1220" s="19"/>
      <c r="BO1220" s="19"/>
    </row>
    <row r="1221" spans="46:67">
      <c r="AW1221" s="19"/>
      <c r="AY1221" s="19"/>
      <c r="BA1221" s="19"/>
      <c r="BC1221" s="19"/>
      <c r="BE1221" s="19"/>
      <c r="BG1221" s="19"/>
      <c r="BI1221" s="19"/>
      <c r="BK1221" s="19"/>
      <c r="BM1221" s="19"/>
      <c r="BO1221" s="19"/>
    </row>
    <row r="1222" spans="46:67">
      <c r="AW1222" s="19"/>
      <c r="AY1222" s="19"/>
      <c r="BA1222" s="19"/>
      <c r="BC1222" s="19"/>
      <c r="BE1222" s="19"/>
      <c r="BG1222" s="19"/>
      <c r="BI1222" s="19"/>
      <c r="BK1222" s="19"/>
      <c r="BM1222" s="19"/>
      <c r="BO1222" s="19"/>
    </row>
    <row r="1223" spans="46:67">
      <c r="AX1223" s="18"/>
      <c r="AZ1223" s="18"/>
      <c r="BB1223" s="18"/>
      <c r="BD1223" s="18"/>
      <c r="BF1223" s="18"/>
      <c r="BH1223" s="18"/>
      <c r="BJ1223" s="18"/>
      <c r="BL1223" s="18"/>
      <c r="BN1223" s="18"/>
    </row>
    <row r="1224" spans="46:67">
      <c r="AX1224" s="18"/>
      <c r="AZ1224" s="18"/>
      <c r="BB1224" s="18"/>
      <c r="BD1224" s="18"/>
      <c r="BF1224" s="18"/>
      <c r="BH1224" s="18"/>
      <c r="BJ1224" s="18"/>
      <c r="BL1224" s="18"/>
      <c r="BN1224" s="18"/>
    </row>
    <row r="1225" spans="46:67">
      <c r="AX1225" s="19"/>
      <c r="AZ1225" s="19"/>
      <c r="BB1225" s="19"/>
      <c r="BD1225" s="19"/>
      <c r="BF1225" s="19"/>
      <c r="BH1225" s="19"/>
      <c r="BJ1225" s="19"/>
      <c r="BL1225" s="19"/>
      <c r="BN1225" s="19"/>
    </row>
    <row r="1226" spans="46:67">
      <c r="AX1226" s="19"/>
      <c r="AZ1226" s="19"/>
      <c r="BB1226" s="19"/>
      <c r="BD1226" s="19"/>
      <c r="BF1226" s="19"/>
      <c r="BH1226" s="19"/>
      <c r="BJ1226" s="19"/>
      <c r="BL1226" s="19"/>
      <c r="BN1226" s="19"/>
    </row>
    <row r="1227" spans="46:67">
      <c r="AX1227" s="19"/>
      <c r="AZ1227" s="19"/>
      <c r="BB1227" s="19"/>
      <c r="BD1227" s="19"/>
      <c r="BF1227" s="19"/>
      <c r="BH1227" s="19"/>
      <c r="BJ1227" s="19"/>
      <c r="BL1227" s="19"/>
      <c r="BN1227" s="19"/>
    </row>
    <row r="1228" spans="46:67">
      <c r="AY1228" s="18"/>
      <c r="BA1228" s="18"/>
      <c r="BC1228" s="18"/>
      <c r="BE1228" s="18"/>
      <c r="BG1228" s="18"/>
      <c r="BI1228" s="18"/>
      <c r="BK1228" s="18"/>
      <c r="BM1228" s="18"/>
      <c r="BO1228" s="18"/>
    </row>
    <row r="1229" spans="46:67">
      <c r="AY1229" s="18"/>
      <c r="BA1229" s="18"/>
      <c r="BC1229" s="18"/>
      <c r="BE1229" s="18"/>
      <c r="BG1229" s="18"/>
      <c r="BI1229" s="18"/>
      <c r="BK1229" s="18"/>
      <c r="BM1229" s="18"/>
      <c r="BO1229" s="18"/>
    </row>
    <row r="1230" spans="46:67">
      <c r="AY1230" s="19"/>
      <c r="BA1230" s="19"/>
      <c r="BC1230" s="19"/>
      <c r="BE1230" s="19"/>
      <c r="BG1230" s="19"/>
      <c r="BI1230" s="19"/>
      <c r="BK1230" s="19"/>
      <c r="BM1230" s="19"/>
      <c r="BO1230" s="19"/>
    </row>
    <row r="1231" spans="46:67">
      <c r="AY1231" s="19"/>
      <c r="BA1231" s="19"/>
      <c r="BC1231" s="19"/>
      <c r="BE1231" s="19"/>
      <c r="BG1231" s="19"/>
      <c r="BI1231" s="19"/>
      <c r="BK1231" s="19"/>
      <c r="BM1231" s="19"/>
      <c r="BO1231" s="19"/>
    </row>
    <row r="1232" spans="46:67">
      <c r="AY1232" s="19"/>
      <c r="BA1232" s="19"/>
      <c r="BC1232" s="19"/>
      <c r="BE1232" s="19"/>
      <c r="BG1232" s="19"/>
      <c r="BI1232" s="19"/>
      <c r="BK1232" s="19"/>
      <c r="BM1232" s="19"/>
      <c r="BO1232" s="19"/>
    </row>
    <row r="1233" spans="52:67">
      <c r="AZ1233" s="18"/>
      <c r="BB1233" s="18"/>
      <c r="BD1233" s="18"/>
      <c r="BF1233" s="18"/>
      <c r="BH1233" s="18"/>
      <c r="BJ1233" s="18"/>
      <c r="BL1233" s="18"/>
      <c r="BN1233" s="18"/>
    </row>
    <row r="1234" spans="52:67">
      <c r="AZ1234" s="18"/>
      <c r="BB1234" s="18"/>
      <c r="BD1234" s="18"/>
      <c r="BF1234" s="18"/>
      <c r="BH1234" s="18"/>
      <c r="BJ1234" s="18"/>
      <c r="BL1234" s="18"/>
      <c r="BN1234" s="18"/>
    </row>
    <row r="1235" spans="52:67">
      <c r="AZ1235" s="19"/>
      <c r="BB1235" s="19"/>
      <c r="BD1235" s="19"/>
      <c r="BF1235" s="19"/>
      <c r="BH1235" s="19"/>
      <c r="BJ1235" s="19"/>
      <c r="BL1235" s="19"/>
      <c r="BN1235" s="19"/>
    </row>
    <row r="1236" spans="52:67">
      <c r="AZ1236" s="19"/>
      <c r="BB1236" s="19"/>
      <c r="BD1236" s="19"/>
      <c r="BF1236" s="19"/>
      <c r="BH1236" s="19"/>
      <c r="BJ1236" s="19"/>
      <c r="BL1236" s="19"/>
      <c r="BN1236" s="19"/>
    </row>
    <row r="1237" spans="52:67">
      <c r="AZ1237" s="19"/>
      <c r="BB1237" s="19"/>
      <c r="BD1237" s="19"/>
      <c r="BF1237" s="19"/>
      <c r="BH1237" s="19"/>
      <c r="BJ1237" s="19"/>
      <c r="BL1237" s="19"/>
      <c r="BN1237" s="19"/>
    </row>
    <row r="1238" spans="52:67">
      <c r="BA1238" s="18"/>
      <c r="BC1238" s="18"/>
      <c r="BE1238" s="18"/>
      <c r="BG1238" s="18"/>
      <c r="BI1238" s="18"/>
      <c r="BK1238" s="18"/>
      <c r="BM1238" s="18"/>
      <c r="BO1238" s="18"/>
    </row>
    <row r="1239" spans="52:67">
      <c r="BA1239" s="18"/>
      <c r="BC1239" s="18"/>
      <c r="BE1239" s="18"/>
      <c r="BG1239" s="18"/>
      <c r="BI1239" s="18"/>
      <c r="BK1239" s="18"/>
      <c r="BM1239" s="18"/>
      <c r="BO1239" s="18"/>
    </row>
    <row r="1240" spans="52:67">
      <c r="BA1240" s="19"/>
      <c r="BC1240" s="19"/>
      <c r="BE1240" s="19"/>
      <c r="BG1240" s="19"/>
      <c r="BI1240" s="19"/>
      <c r="BK1240" s="19"/>
      <c r="BM1240" s="19"/>
      <c r="BO1240" s="19"/>
    </row>
    <row r="1241" spans="52:67">
      <c r="BA1241" s="19"/>
      <c r="BC1241" s="19"/>
      <c r="BE1241" s="19"/>
      <c r="BG1241" s="19"/>
      <c r="BI1241" s="19"/>
      <c r="BK1241" s="19"/>
      <c r="BM1241" s="19"/>
      <c r="BO1241" s="19"/>
    </row>
    <row r="1242" spans="52:67">
      <c r="BA1242" s="19"/>
      <c r="BC1242" s="19"/>
      <c r="BE1242" s="19"/>
      <c r="BG1242" s="19"/>
      <c r="BI1242" s="19"/>
      <c r="BK1242" s="19"/>
      <c r="BM1242" s="19"/>
      <c r="BO1242" s="19"/>
    </row>
    <row r="1243" spans="52:67">
      <c r="BB1243" s="18"/>
      <c r="BD1243" s="18"/>
      <c r="BF1243" s="18"/>
      <c r="BH1243" s="18"/>
      <c r="BJ1243" s="18"/>
      <c r="BL1243" s="18"/>
      <c r="BN1243" s="18"/>
    </row>
    <row r="1244" spans="52:67">
      <c r="BB1244" s="18"/>
      <c r="BD1244" s="18"/>
      <c r="BF1244" s="18"/>
      <c r="BH1244" s="18"/>
      <c r="BJ1244" s="18"/>
      <c r="BL1244" s="18"/>
      <c r="BN1244" s="18"/>
    </row>
    <row r="1245" spans="52:67">
      <c r="BB1245" s="19"/>
      <c r="BD1245" s="19"/>
      <c r="BF1245" s="19"/>
      <c r="BH1245" s="19"/>
      <c r="BJ1245" s="19"/>
      <c r="BL1245" s="19"/>
      <c r="BN1245" s="19"/>
    </row>
    <row r="1246" spans="52:67">
      <c r="BB1246" s="19"/>
      <c r="BD1246" s="19"/>
      <c r="BF1246" s="19"/>
      <c r="BH1246" s="19"/>
      <c r="BJ1246" s="19"/>
      <c r="BL1246" s="19"/>
      <c r="BN1246" s="19"/>
    </row>
    <row r="1247" spans="52:67">
      <c r="BB1247" s="19"/>
      <c r="BD1247" s="19"/>
      <c r="BF1247" s="19"/>
      <c r="BH1247" s="19"/>
      <c r="BJ1247" s="19"/>
      <c r="BL1247" s="19"/>
      <c r="BN1247" s="19"/>
    </row>
    <row r="1248" spans="52:67">
      <c r="BC1248" s="18"/>
      <c r="BE1248" s="18"/>
      <c r="BG1248" s="18"/>
      <c r="BI1248" s="18"/>
      <c r="BK1248" s="18"/>
      <c r="BM1248" s="18"/>
      <c r="BO1248" s="18"/>
    </row>
    <row r="1249" spans="55:67">
      <c r="BC1249" s="18"/>
      <c r="BE1249" s="18"/>
      <c r="BG1249" s="18"/>
      <c r="BI1249" s="18"/>
      <c r="BK1249" s="18"/>
      <c r="BM1249" s="18"/>
      <c r="BO1249" s="18"/>
    </row>
    <row r="1250" spans="55:67">
      <c r="BC1250" s="19"/>
      <c r="BE1250" s="19"/>
      <c r="BG1250" s="19"/>
      <c r="BI1250" s="19"/>
      <c r="BK1250" s="19"/>
      <c r="BM1250" s="19"/>
      <c r="BO1250" s="19"/>
    </row>
    <row r="1251" spans="55:67">
      <c r="BC1251" s="19"/>
      <c r="BE1251" s="19"/>
      <c r="BG1251" s="19"/>
      <c r="BI1251" s="19"/>
      <c r="BK1251" s="19"/>
      <c r="BM1251" s="19"/>
      <c r="BO1251" s="19"/>
    </row>
    <row r="1252" spans="55:67">
      <c r="BC1252" s="19"/>
      <c r="BE1252" s="19"/>
      <c r="BG1252" s="19"/>
      <c r="BI1252" s="19"/>
      <c r="BK1252" s="19"/>
      <c r="BM1252" s="19"/>
      <c r="BO1252" s="19"/>
    </row>
    <row r="1253" spans="55:67">
      <c r="BD1253" s="18"/>
      <c r="BF1253" s="18"/>
      <c r="BH1253" s="18"/>
      <c r="BJ1253" s="18"/>
      <c r="BL1253" s="18"/>
      <c r="BN1253" s="18"/>
    </row>
    <row r="1254" spans="55:67">
      <c r="BD1254" s="18"/>
      <c r="BF1254" s="18"/>
      <c r="BH1254" s="18"/>
      <c r="BJ1254" s="18"/>
      <c r="BL1254" s="18"/>
      <c r="BN1254" s="18"/>
    </row>
    <row r="1255" spans="55:67">
      <c r="BD1255" s="19"/>
      <c r="BF1255" s="19"/>
      <c r="BH1255" s="19"/>
      <c r="BJ1255" s="19"/>
      <c r="BL1255" s="19"/>
      <c r="BN1255" s="19"/>
    </row>
    <row r="1256" spans="55:67">
      <c r="BD1256" s="19"/>
      <c r="BF1256" s="19"/>
      <c r="BH1256" s="19"/>
      <c r="BJ1256" s="19"/>
      <c r="BL1256" s="19"/>
      <c r="BN1256" s="19"/>
    </row>
    <row r="1257" spans="55:67">
      <c r="BD1257" s="19"/>
      <c r="BF1257" s="19"/>
      <c r="BH1257" s="19"/>
      <c r="BJ1257" s="19"/>
      <c r="BL1257" s="19"/>
      <c r="BN1257" s="19"/>
    </row>
    <row r="1258" spans="55:67">
      <c r="BE1258" s="18"/>
      <c r="BG1258" s="18"/>
      <c r="BI1258" s="18"/>
      <c r="BK1258" s="18"/>
      <c r="BM1258" s="18"/>
      <c r="BO1258" s="18"/>
    </row>
    <row r="1259" spans="55:67">
      <c r="BE1259" s="18"/>
      <c r="BG1259" s="18"/>
      <c r="BI1259" s="18"/>
      <c r="BK1259" s="18"/>
      <c r="BM1259" s="18"/>
      <c r="BO1259" s="18"/>
    </row>
    <row r="1260" spans="55:67">
      <c r="BE1260" s="19"/>
      <c r="BG1260" s="19"/>
      <c r="BI1260" s="19"/>
      <c r="BK1260" s="19"/>
      <c r="BM1260" s="19"/>
      <c r="BO1260" s="19"/>
    </row>
    <row r="1261" spans="55:67">
      <c r="BE1261" s="19"/>
      <c r="BG1261" s="19"/>
      <c r="BI1261" s="19"/>
      <c r="BK1261" s="19"/>
      <c r="BM1261" s="19"/>
      <c r="BO1261" s="19"/>
    </row>
    <row r="1262" spans="55:67">
      <c r="BE1262" s="19"/>
      <c r="BG1262" s="19"/>
      <c r="BI1262" s="19"/>
      <c r="BK1262" s="19"/>
      <c r="BM1262" s="19"/>
      <c r="BO1262" s="19"/>
    </row>
    <row r="1263" spans="55:67">
      <c r="BF1263" s="18"/>
      <c r="BH1263" s="18"/>
      <c r="BJ1263" s="18"/>
      <c r="BL1263" s="18"/>
      <c r="BN1263" s="18"/>
    </row>
    <row r="1264" spans="55:67">
      <c r="BF1264" s="18"/>
      <c r="BH1264" s="18"/>
      <c r="BJ1264" s="18"/>
      <c r="BL1264" s="18"/>
      <c r="BN1264" s="18"/>
    </row>
    <row r="1265" spans="58:67">
      <c r="BF1265" s="19"/>
      <c r="BH1265" s="19"/>
      <c r="BJ1265" s="19"/>
      <c r="BL1265" s="19"/>
      <c r="BN1265" s="19"/>
    </row>
    <row r="1266" spans="58:67">
      <c r="BF1266" s="19"/>
      <c r="BH1266" s="19"/>
      <c r="BJ1266" s="19"/>
      <c r="BL1266" s="19"/>
      <c r="BN1266" s="19"/>
    </row>
    <row r="1267" spans="58:67">
      <c r="BF1267" s="19"/>
      <c r="BH1267" s="19"/>
      <c r="BJ1267" s="19"/>
      <c r="BL1267" s="19"/>
      <c r="BN1267" s="19"/>
    </row>
    <row r="1268" spans="58:67">
      <c r="BG1268" s="18"/>
      <c r="BI1268" s="18"/>
      <c r="BK1268" s="18"/>
      <c r="BM1268" s="18"/>
      <c r="BO1268" s="18"/>
    </row>
    <row r="1269" spans="58:67">
      <c r="BG1269" s="18"/>
      <c r="BI1269" s="18"/>
      <c r="BK1269" s="18"/>
      <c r="BM1269" s="18"/>
      <c r="BO1269" s="18"/>
    </row>
    <row r="1270" spans="58:67">
      <c r="BG1270" s="19"/>
      <c r="BI1270" s="19"/>
      <c r="BK1270" s="19"/>
      <c r="BM1270" s="19"/>
      <c r="BO1270" s="19"/>
    </row>
    <row r="1271" spans="58:67">
      <c r="BG1271" s="19"/>
      <c r="BI1271" s="19"/>
      <c r="BK1271" s="19"/>
      <c r="BM1271" s="19"/>
      <c r="BO1271" s="19"/>
    </row>
    <row r="1272" spans="58:67">
      <c r="BG1272" s="19"/>
      <c r="BI1272" s="19"/>
      <c r="BK1272" s="19"/>
      <c r="BM1272" s="19"/>
      <c r="BO1272" s="19"/>
    </row>
    <row r="1273" spans="58:67">
      <c r="BH1273" s="18"/>
      <c r="BJ1273" s="18"/>
      <c r="BL1273" s="18"/>
      <c r="BN1273" s="18"/>
    </row>
    <row r="1274" spans="58:67">
      <c r="BH1274" s="18"/>
      <c r="BJ1274" s="18"/>
      <c r="BL1274" s="18"/>
      <c r="BN1274" s="18"/>
    </row>
    <row r="1275" spans="58:67">
      <c r="BH1275" s="19"/>
      <c r="BJ1275" s="19"/>
      <c r="BL1275" s="19"/>
      <c r="BN1275" s="19"/>
    </row>
    <row r="1276" spans="58:67">
      <c r="BH1276" s="19"/>
      <c r="BJ1276" s="19"/>
      <c r="BL1276" s="19"/>
      <c r="BN1276" s="19"/>
    </row>
    <row r="1277" spans="58:67">
      <c r="BH1277" s="19"/>
      <c r="BJ1277" s="19"/>
      <c r="BL1277" s="19"/>
      <c r="BN1277" s="19"/>
    </row>
    <row r="1278" spans="58:67">
      <c r="BI1278" s="18"/>
      <c r="BK1278" s="18"/>
      <c r="BM1278" s="18"/>
      <c r="BO1278" s="18"/>
    </row>
    <row r="1279" spans="58:67">
      <c r="BI1279" s="18"/>
      <c r="BK1279" s="18"/>
      <c r="BM1279" s="18"/>
      <c r="BO1279" s="18"/>
    </row>
    <row r="1280" spans="58:67">
      <c r="BI1280" s="19"/>
      <c r="BK1280" s="19"/>
      <c r="BM1280" s="19"/>
      <c r="BO1280" s="19"/>
    </row>
    <row r="1281" spans="61:67">
      <c r="BI1281" s="19"/>
      <c r="BK1281" s="19"/>
      <c r="BM1281" s="19"/>
      <c r="BO1281" s="19"/>
    </row>
    <row r="1282" spans="61:67">
      <c r="BI1282" s="19"/>
      <c r="BK1282" s="19"/>
      <c r="BM1282" s="19"/>
      <c r="BO1282" s="19"/>
    </row>
    <row r="1283" spans="61:67">
      <c r="BJ1283" s="18"/>
      <c r="BL1283" s="18"/>
      <c r="BN1283" s="18"/>
    </row>
    <row r="1284" spans="61:67">
      <c r="BJ1284" s="18"/>
      <c r="BL1284" s="18"/>
      <c r="BN1284" s="18"/>
    </row>
    <row r="1285" spans="61:67">
      <c r="BJ1285" s="19"/>
      <c r="BL1285" s="19"/>
      <c r="BN1285" s="19"/>
    </row>
    <row r="1286" spans="61:67">
      <c r="BJ1286" s="19"/>
      <c r="BL1286" s="19"/>
      <c r="BN1286" s="19"/>
    </row>
    <row r="1287" spans="61:67">
      <c r="BJ1287" s="19"/>
      <c r="BL1287" s="19"/>
      <c r="BN1287" s="19"/>
    </row>
    <row r="1288" spans="61:67">
      <c r="BK1288" s="18"/>
      <c r="BM1288" s="18"/>
      <c r="BO1288" s="18"/>
    </row>
    <row r="1289" spans="61:67">
      <c r="BK1289" s="18"/>
      <c r="BM1289" s="18"/>
      <c r="BO1289" s="18"/>
    </row>
    <row r="1290" spans="61:67">
      <c r="BK1290" s="19"/>
      <c r="BM1290" s="19"/>
      <c r="BO1290" s="19"/>
    </row>
    <row r="1291" spans="61:67">
      <c r="BK1291" s="19"/>
      <c r="BM1291" s="19"/>
      <c r="BO1291" s="19"/>
    </row>
    <row r="1292" spans="61:67">
      <c r="BK1292" s="19"/>
      <c r="BM1292" s="19"/>
      <c r="BO1292" s="19"/>
    </row>
    <row r="1293" spans="61:67">
      <c r="BL1293" s="18"/>
      <c r="BN1293" s="18"/>
    </row>
    <row r="1294" spans="61:67">
      <c r="BL1294" s="18"/>
      <c r="BN1294" s="18"/>
    </row>
    <row r="1295" spans="61:67">
      <c r="BL1295" s="19"/>
      <c r="BN1295" s="19"/>
    </row>
    <row r="1296" spans="61:67">
      <c r="BL1296" s="19"/>
      <c r="BN1296" s="19"/>
    </row>
    <row r="1297" spans="64:67">
      <c r="BL1297" s="19"/>
      <c r="BN1297" s="19"/>
    </row>
    <row r="1298" spans="64:67">
      <c r="BM1298" s="18"/>
      <c r="BO1298" s="18"/>
    </row>
    <row r="1299" spans="64:67">
      <c r="BM1299" s="18"/>
      <c r="BO1299" s="18"/>
    </row>
    <row r="1300" spans="64:67">
      <c r="BM1300" s="19"/>
      <c r="BO1300" s="19"/>
    </row>
    <row r="1301" spans="64:67">
      <c r="BM1301" s="19"/>
      <c r="BO1301" s="19"/>
    </row>
    <row r="1302" spans="64:67">
      <c r="BM1302" s="19"/>
      <c r="BO1302" s="19"/>
    </row>
    <row r="1303" spans="64:67">
      <c r="BN1303" s="18"/>
    </row>
    <row r="1304" spans="64:67">
      <c r="BN1304" s="18"/>
    </row>
    <row r="1305" spans="64:67">
      <c r="BN1305" s="19"/>
    </row>
    <row r="1306" spans="64:67">
      <c r="BN1306" s="19"/>
    </row>
    <row r="1307" spans="64:67">
      <c r="BN1307" s="19"/>
    </row>
    <row r="1308" spans="64:67">
      <c r="BO1308" s="18"/>
    </row>
    <row r="1309" spans="64:67">
      <c r="BO1309" s="18"/>
    </row>
    <row r="1310" spans="64:67">
      <c r="BO1310" s="19"/>
    </row>
    <row r="1311" spans="64:67">
      <c r="BO1311" s="19"/>
    </row>
    <row r="1312" spans="64:67">
      <c r="BO1312" s="19"/>
    </row>
    <row r="1824" spans="32:32">
      <c r="AF1824" s="47">
        <f>AF$7</f>
        <v>25</v>
      </c>
    </row>
    <row r="1825" spans="30:32">
      <c r="AF1825" s="48">
        <f>AE1832*AF$11</f>
        <v>4.1716966709257148</v>
      </c>
    </row>
    <row r="1826" spans="30:32">
      <c r="AF1826" s="49">
        <f>AF$18</f>
        <v>1</v>
      </c>
    </row>
    <row r="1827" spans="30:32">
      <c r="AF1827" s="48">
        <f>AF$19</f>
        <v>0</v>
      </c>
    </row>
    <row r="1828" spans="30:32">
      <c r="AF1828" s="49"/>
    </row>
    <row r="1829" spans="30:32">
      <c r="AF1829" s="50"/>
    </row>
    <row r="1830" spans="30:32">
      <c r="AF1830" s="51"/>
    </row>
    <row r="1831" spans="30:32">
      <c r="AE1831" s="47">
        <f>AE$7</f>
        <v>24</v>
      </c>
      <c r="AF1831" s="52">
        <f>IF(AF1827=0,MAX(AF1825-AF1826,(AG$13*AG1824+AG$14*AG1838)*EXP(-$B$12*AG$9)),IF(AF1825&gt;AF1827,AF1825-AF1826,MAX(AF1825-AF1826,(AG$13*AG1824+AG$14*AG1838)*EXP(-$B$12*AG$9))))</f>
        <v>3.1716966709257148</v>
      </c>
    </row>
    <row r="1832" spans="30:32">
      <c r="AE1832" s="48">
        <f>AD1839*AE$11</f>
        <v>3.790456856293642</v>
      </c>
    </row>
    <row r="1833" spans="30:32">
      <c r="AE1833" s="49">
        <f>AE$18</f>
        <v>1</v>
      </c>
    </row>
    <row r="1834" spans="30:32">
      <c r="AE1834" s="48">
        <f>AE$19</f>
        <v>0</v>
      </c>
    </row>
    <row r="1835" spans="30:32">
      <c r="AE1835" s="49"/>
    </row>
    <row r="1836" spans="30:32">
      <c r="AE1836" s="50"/>
    </row>
    <row r="1837" spans="30:32">
      <c r="AE1837" s="51"/>
    </row>
    <row r="1838" spans="30:32">
      <c r="AD1838" s="47">
        <f>AD$7</f>
        <v>23</v>
      </c>
      <c r="AE1838" s="52">
        <f>IF(AE1834=0,MAX(AE1832-AE1833,(AF$13*AF1831+AF$14*AF1845)*EXP(-$B$12*AF$9)),IF(AE1832&gt;AE1834,AE1832-AE1833,MAX(AE1832-AE1833,(AF$13*AF1831+AF$14*AF1845)*EXP(-$B$12*AF$9))))</f>
        <v>2.7929302553743676</v>
      </c>
    </row>
    <row r="1839" spans="30:32">
      <c r="AD1839" s="48">
        <f>AC1846*AD$11</f>
        <v>3.4440574933352632</v>
      </c>
      <c r="AE1839" s="51"/>
      <c r="AF1839" s="48">
        <f>AE1846*AF$11</f>
        <v>3.4440574933352632</v>
      </c>
    </row>
    <row r="1840" spans="30:32">
      <c r="AD1840" s="49">
        <f>AD$18</f>
        <v>1</v>
      </c>
      <c r="AE1840" s="53"/>
      <c r="AF1840" s="49">
        <f>AF$18</f>
        <v>1</v>
      </c>
    </row>
    <row r="1841" spans="28:32">
      <c r="AD1841" s="48">
        <f>AD$19</f>
        <v>0</v>
      </c>
      <c r="AF1841" s="48">
        <f>AF$19</f>
        <v>0</v>
      </c>
    </row>
    <row r="1842" spans="28:32">
      <c r="AD1842" s="49"/>
      <c r="AF1842" s="49"/>
    </row>
    <row r="1843" spans="28:32">
      <c r="AD1843" s="50"/>
      <c r="AF1843" s="50"/>
    </row>
    <row r="1844" spans="28:32">
      <c r="AD1844" s="51"/>
      <c r="AF1844" s="51"/>
    </row>
    <row r="1845" spans="28:32">
      <c r="AC1845" s="47">
        <f>AC$7</f>
        <v>22</v>
      </c>
      <c r="AD1845" s="52">
        <f>IF(AD1841=0,MAX(AD1839-AD1840,(AE$13*AE1838+AE$14*AE1852)*EXP(-$B$12*AE$9)),IF(AD1839&gt;AD1841,AD1839-AD1840,MAX(AD1839-AD1840,(AE$13*AE1838+AE$14*AE1852)*EXP(-$B$12*AE$9))))</f>
        <v>2.4491907873805578</v>
      </c>
      <c r="AF1845" s="52">
        <f>IF(AF1841=0,MAX(AF1839-AF1840,(AG$13*AG1838+AG$14*AG1852)*EXP(-$B$12*AG$9)),IF(AF1839&gt;AF1841,AF1839-AF1840,MAX(AF1839-AF1840,(AG$13*AG1838+AG$14*AG1852)*EXP(-$B$12*AG$9))))</f>
        <v>2.4440574933352632</v>
      </c>
    </row>
    <row r="1846" spans="28:32">
      <c r="AC1846" s="48">
        <f>AB1853*AC$11</f>
        <v>3.1293146095843278</v>
      </c>
      <c r="AD1846" s="51"/>
      <c r="AE1846" s="48">
        <f>AD1853*AE$11</f>
        <v>3.1293146095843278</v>
      </c>
    </row>
    <row r="1847" spans="28:32">
      <c r="AC1847" s="49">
        <f>AC$18</f>
        <v>1</v>
      </c>
      <c r="AD1847" s="53"/>
      <c r="AE1847" s="49">
        <f>AE$18</f>
        <v>1</v>
      </c>
    </row>
    <row r="1848" spans="28:32">
      <c r="AC1848" s="48">
        <f>AC$19</f>
        <v>0</v>
      </c>
      <c r="AE1848" s="48">
        <f>AE$19</f>
        <v>0</v>
      </c>
    </row>
    <row r="1849" spans="28:32">
      <c r="AC1849" s="49"/>
      <c r="AE1849" s="49"/>
    </row>
    <row r="1850" spans="28:32">
      <c r="AC1850" s="50"/>
      <c r="AE1850" s="50"/>
    </row>
    <row r="1851" spans="28:32">
      <c r="AC1851" s="51"/>
      <c r="AE1851" s="51"/>
    </row>
    <row r="1852" spans="28:32">
      <c r="AB1852" s="47">
        <f>AB$7</f>
        <v>21</v>
      </c>
      <c r="AC1852" s="52">
        <f>IF(AC1848=0,MAX(AC1846-AC1847,(AD$13*AD1845+AD$14*AD1859)*EXP(-$B$12*AD$9)),IF(AC1846&gt;AC1848,AC1846-AC1847,MAX(AC1846-AC1847,(AD$13*AD1845+AD$14*AD1859)*EXP(-$B$12*AD$9))))</f>
        <v>2.1372669967774316</v>
      </c>
      <c r="AE1852" s="52">
        <f>IF(AE1848=0,MAX(AE1846-AE1847,(AF$13*AF1845+AF$14*AF1859)*EXP(-$B$12*AF$9)),IF(AE1846&gt;AE1848,AE1846-AE1847,MAX(AE1846-AE1847,(AF$13*AF1845+AF$14*AF1859)*EXP(-$B$12*AF$9))))</f>
        <v>2.1319778174185569</v>
      </c>
    </row>
    <row r="1853" spans="28:32">
      <c r="AB1853" s="48">
        <f>AA1860*AB$11</f>
        <v>2.8433352070074309</v>
      </c>
      <c r="AC1853" s="51"/>
      <c r="AD1853" s="48">
        <f>AC1860*AD$11</f>
        <v>2.8433352070074309</v>
      </c>
      <c r="AE1853" s="51"/>
      <c r="AF1853" s="48">
        <f>AE1860*AF$11</f>
        <v>2.8433352070074309</v>
      </c>
    </row>
    <row r="1854" spans="28:32">
      <c r="AB1854" s="49">
        <f>AB$18</f>
        <v>1</v>
      </c>
      <c r="AC1854" s="53"/>
      <c r="AD1854" s="49">
        <f>AD$18</f>
        <v>1</v>
      </c>
      <c r="AE1854" s="53"/>
      <c r="AF1854" s="49">
        <f>AF$18</f>
        <v>1</v>
      </c>
    </row>
    <row r="1855" spans="28:32">
      <c r="AB1855" s="48">
        <f>AB$19</f>
        <v>0</v>
      </c>
      <c r="AD1855" s="48">
        <f>AD$19</f>
        <v>0</v>
      </c>
      <c r="AF1855" s="48">
        <f>AF$19</f>
        <v>0</v>
      </c>
    </row>
    <row r="1856" spans="28:32">
      <c r="AB1856" s="49"/>
      <c r="AD1856" s="49"/>
      <c r="AF1856" s="49"/>
    </row>
    <row r="1857" spans="26:32">
      <c r="AB1857" s="50"/>
      <c r="AD1857" s="50"/>
      <c r="AF1857" s="50"/>
    </row>
    <row r="1858" spans="26:32">
      <c r="AB1858" s="51"/>
      <c r="AD1858" s="51"/>
      <c r="AF1858" s="51"/>
    </row>
    <row r="1859" spans="26:32">
      <c r="AA1859" s="47">
        <f>AA$7</f>
        <v>20</v>
      </c>
      <c r="AB1859" s="52">
        <f>IF(AB1855=0,MAX(AB1853-AB1854,(AC$13*AC1852+AC$14*AC1866)*EXP(-$B$12*AC$9)),IF(AB1853&gt;AB1855,AB1853-AB1854,MAX(AB1853-AB1854,(AC$13*AC1852+AC$14*AC1866)*EXP(-$B$12*AC$9))))</f>
        <v>1.8542419241497803</v>
      </c>
      <c r="AD1859" s="52">
        <f>IF(AD1855=0,MAX(AD1853-AD1854,(AE$13*AE1852+AE$14*AE1866)*EXP(-$B$12*AE$9)),IF(AD1853&gt;AD1855,AD1853-AD1854,MAX(AD1853-AD1854,(AE$13*AE1852+AE$14*AE1866)*EXP(-$B$12*AE$9))))</f>
        <v>1.848813376853587</v>
      </c>
      <c r="AF1859" s="52">
        <f>IF(AF1855=0,MAX(AF1853-AF1854,(AG$13*AG1852+AG$14*AG1866)*EXP(-$B$12*AG$9)),IF(AF1853&gt;AF1855,AF1853-AF1854,MAX(AF1853-AF1854,(AG$13*AG1852+AG$14*AG1866)*EXP(-$B$12*AG$9))))</f>
        <v>1.8433352070074309</v>
      </c>
    </row>
    <row r="1860" spans="26:32">
      <c r="AA1860" s="48">
        <f>Z1867*AA$11</f>
        <v>2.5834906706557943</v>
      </c>
      <c r="AB1860" s="51"/>
      <c r="AC1860" s="48">
        <f>AB1867*AC$11</f>
        <v>2.5834906706557943</v>
      </c>
      <c r="AD1860" s="51"/>
      <c r="AE1860" s="48">
        <f>AD1867*AE$11</f>
        <v>2.5834906706557943</v>
      </c>
    </row>
    <row r="1861" spans="26:32">
      <c r="AA1861" s="49">
        <f>AA$18</f>
        <v>1</v>
      </c>
      <c r="AB1861" s="53"/>
      <c r="AC1861" s="49">
        <f>AC$18</f>
        <v>1</v>
      </c>
      <c r="AD1861" s="53"/>
      <c r="AE1861" s="49">
        <f>AE$18</f>
        <v>1</v>
      </c>
    </row>
    <row r="1862" spans="26:32">
      <c r="AA1862" s="48">
        <f>AA$19</f>
        <v>0</v>
      </c>
      <c r="AC1862" s="48">
        <f>AC$19</f>
        <v>0</v>
      </c>
      <c r="AE1862" s="48">
        <f>AE$19</f>
        <v>0</v>
      </c>
    </row>
    <row r="1863" spans="26:32">
      <c r="AA1863" s="49"/>
      <c r="AC1863" s="49"/>
      <c r="AE1863" s="49"/>
    </row>
    <row r="1864" spans="26:32">
      <c r="AA1864" s="50"/>
      <c r="AC1864" s="50"/>
      <c r="AE1864" s="50"/>
    </row>
    <row r="1865" spans="26:32">
      <c r="AA1865" s="51"/>
      <c r="AC1865" s="51"/>
      <c r="AE1865" s="51"/>
    </row>
    <row r="1866" spans="26:32">
      <c r="Z1866" s="47">
        <f>Z$7</f>
        <v>19</v>
      </c>
      <c r="AA1866" s="52">
        <f>IF(AA1862=0,MAX(AA1860-AA1861,(AB$13*AB1859+AB$14*AB1873)*EXP(-$B$12*AB$9)),IF(AA1860&gt;AA1862,AA1860-AA1861,MAX(AA1860-AA1861,(AB$13*AB1859+AB$14*AB1873)*EXP(-$B$12*AB$9))))</f>
        <v>1.5974659478021012</v>
      </c>
      <c r="AC1866" s="52">
        <f>IF(AC1862=0,MAX(AC1860-AC1861,(AD$13*AD1859+AD$14*AD1873)*EXP(-$B$12*AD$9)),IF(AC1860&gt;AC1862,AC1860-AC1861,MAX(AC1860-AC1861,(AD$13*AD1859+AD$14*AD1873)*EXP(-$B$12*AD$9))))</f>
        <v>1.5919130282137053</v>
      </c>
      <c r="AE1866" s="52">
        <f>IF(AE1862=0,MAX(AE1860-AE1861,(AF$13*AF1859+AF$14*AF1873)*EXP(-$B$12*AF$9)),IF(AE1860&gt;AE1862,AE1860-AE1861,MAX(AE1860-AE1861,(AF$13*AF1859+AF$14*AF1873)*EXP(-$B$12*AF$9))))</f>
        <v>1.5863105802618369</v>
      </c>
    </row>
    <row r="1867" spans="26:32">
      <c r="Z1867" s="48">
        <f>Y1874*Z$11</f>
        <v>2.3473926074267761</v>
      </c>
      <c r="AA1867" s="51"/>
      <c r="AB1867" s="48">
        <f>AA1874*AB$11</f>
        <v>2.3473926074267761</v>
      </c>
      <c r="AC1867" s="51"/>
      <c r="AD1867" s="48">
        <f>AC1874*AD$11</f>
        <v>2.3473926074267761</v>
      </c>
      <c r="AE1867" s="51"/>
      <c r="AF1867" s="48">
        <f>AE1874*AF$11</f>
        <v>2.3473926074267761</v>
      </c>
    </row>
    <row r="1868" spans="26:32">
      <c r="Z1868" s="49">
        <f>Z$18</f>
        <v>1</v>
      </c>
      <c r="AA1868" s="53"/>
      <c r="AB1868" s="49">
        <f>AB$18</f>
        <v>1</v>
      </c>
      <c r="AC1868" s="53"/>
      <c r="AD1868" s="49">
        <f>AD$18</f>
        <v>1</v>
      </c>
      <c r="AE1868" s="53"/>
      <c r="AF1868" s="49">
        <f>AF$18</f>
        <v>1</v>
      </c>
    </row>
    <row r="1869" spans="26:32">
      <c r="Z1869" s="48">
        <f>Z$19</f>
        <v>0</v>
      </c>
      <c r="AB1869" s="48">
        <f>AB$19</f>
        <v>0</v>
      </c>
      <c r="AD1869" s="48">
        <f>AD$19</f>
        <v>0</v>
      </c>
      <c r="AF1869" s="48">
        <f>AF$19</f>
        <v>0</v>
      </c>
    </row>
    <row r="1870" spans="26:32">
      <c r="Z1870" s="49"/>
      <c r="AB1870" s="49"/>
      <c r="AD1870" s="49"/>
      <c r="AF1870" s="49"/>
    </row>
    <row r="1871" spans="26:32">
      <c r="Z1871" s="50"/>
      <c r="AB1871" s="50"/>
      <c r="AD1871" s="50"/>
      <c r="AF1871" s="50"/>
    </row>
    <row r="1872" spans="26:32">
      <c r="Z1872" s="51"/>
      <c r="AB1872" s="51"/>
      <c r="AD1872" s="51"/>
      <c r="AF1872" s="51"/>
    </row>
    <row r="1873" spans="23:32">
      <c r="Y1873" s="47">
        <f>Y$7</f>
        <v>18</v>
      </c>
      <c r="Z1873" s="52">
        <f>IF(Z1869=0,MAX(Z1867-Z1868,(AA$13*AA1866+AA$14*AA1880)*EXP(-$B$12*AA$9)),IF(Z1867&gt;Z1869,Z1867-Z1868,MAX(Z1867-Z1868,(AA$13*AA1866+AA$14*AA1880)*EXP(-$B$12*AA$9))))</f>
        <v>1.3645322827535162</v>
      </c>
      <c r="AB1873" s="52">
        <f>IF(AB1869=0,MAX(AB1867-AB1868,(AC$13*AC1866+AC$14*AC1880)*EXP(-$B$12*AC$9)),IF(AB1867&gt;AB1869,AB1867-AB1868,MAX(AB1867-AB1868,(AC$13*AC1866+AC$14*AC1880)*EXP(-$B$12*AC$9))))</f>
        <v>1.3588686042789373</v>
      </c>
      <c r="AD1873" s="52">
        <f>IF(AD1869=0,MAX(AD1867-AD1868,(AE$13*AE1866+AE$14*AE1880)*EXP(-$B$12*AE$9)),IF(AD1867&gt;AD1869,AD1867-AD1868,MAX(AD1867-AD1868,(AE$13*AE1866+AE$14*AE1880)*EXP(-$B$12*AE$9))))</f>
        <v>1.3531554988574381</v>
      </c>
      <c r="AF1873" s="52">
        <f>IF(AF1869=0,MAX(AF1867-AF1868,(AG$13*AG1866+AG$14*AG1880)*EXP(-$B$12*AG$9)),IF(AF1867&gt;AF1869,AF1867-AF1868,MAX(AF1867-AF1868,(AG$13*AG1866+AG$14*AG1880)*EXP(-$B$12*AG$9))))</f>
        <v>1.3473926074267761</v>
      </c>
    </row>
    <row r="1874" spans="23:32">
      <c r="Y1874" s="48">
        <f>X1881*Y$11</f>
        <v>2.1328708928541067</v>
      </c>
      <c r="Z1874" s="51"/>
      <c r="AA1874" s="48">
        <f>Z1881*AA$11</f>
        <v>2.1328708928541067</v>
      </c>
      <c r="AB1874" s="51"/>
      <c r="AC1874" s="48">
        <f>AB1881*AC$11</f>
        <v>2.1328708928541067</v>
      </c>
      <c r="AD1874" s="51"/>
      <c r="AE1874" s="48">
        <f>AD1881*AE$11</f>
        <v>2.1328708928541067</v>
      </c>
    </row>
    <row r="1875" spans="23:32">
      <c r="Y1875" s="49">
        <f>Y$18</f>
        <v>1</v>
      </c>
      <c r="Z1875" s="53"/>
      <c r="AA1875" s="49">
        <f>AA$18</f>
        <v>1</v>
      </c>
      <c r="AB1875" s="53"/>
      <c r="AC1875" s="49">
        <f>AC$18</f>
        <v>1</v>
      </c>
      <c r="AD1875" s="53"/>
      <c r="AE1875" s="49">
        <f>AE$18</f>
        <v>1</v>
      </c>
    </row>
    <row r="1876" spans="23:32">
      <c r="Y1876" s="48">
        <f>Y$19</f>
        <v>0</v>
      </c>
      <c r="AA1876" s="48">
        <f>AA$19</f>
        <v>0</v>
      </c>
      <c r="AC1876" s="48">
        <f>AC$19</f>
        <v>0</v>
      </c>
      <c r="AE1876" s="48">
        <f>AE$19</f>
        <v>0</v>
      </c>
    </row>
    <row r="1877" spans="23:32">
      <c r="Y1877" s="49"/>
      <c r="AA1877" s="49"/>
      <c r="AC1877" s="49"/>
      <c r="AE1877" s="49"/>
    </row>
    <row r="1878" spans="23:32">
      <c r="Y1878" s="50"/>
      <c r="AA1878" s="50"/>
      <c r="AC1878" s="50"/>
      <c r="AE1878" s="50"/>
    </row>
    <row r="1879" spans="23:32">
      <c r="Y1879" s="51"/>
      <c r="AA1879" s="51"/>
      <c r="AC1879" s="51"/>
      <c r="AE1879" s="51"/>
    </row>
    <row r="1880" spans="23:32">
      <c r="X1880" s="47">
        <f>X$7</f>
        <v>17</v>
      </c>
      <c r="Y1880" s="52">
        <f>IF(Y1876=0,MAX(Y1874-Y1875,(Z$13*Z1873+Z$14*Z1887)*EXP(-$B$12*Z$9)),IF(Y1874&gt;Y1876,Y1874-Y1875,MAX(Y1874-Y1875,(Z$13*Z1873+Z$14*Z1887)*EXP(-$B$12*Z$9))))</f>
        <v>1.1532547252030243</v>
      </c>
      <c r="AA1880" s="52">
        <f>IF(AA1876=0,MAX(AA1874-AA1875,(AB$13*AB1873+AB$14*AB1887)*EXP(-$B$12*AB$9)),IF(AA1874&gt;AA1876,AA1874-AA1875,MAX(AA1874-AA1875,(AB$13*AB1873+AB$14*AB1887)*EXP(-$B$12*AB$9))))</f>
        <v>1.1474926457169519</v>
      </c>
      <c r="AC1880" s="52">
        <f>IF(AC1876=0,MAX(AC1874-AC1875,(AD$13*AD1873+AD$14*AD1887)*EXP(-$B$12*AD$9)),IF(AC1874&gt;AC1876,AC1874-AC1875,MAX(AC1874-AC1875,(AD$13*AD1873+AD$14*AD1887)*EXP(-$B$12*AD$9))))</f>
        <v>1.1416812472114592</v>
      </c>
      <c r="AE1880" s="52">
        <f>IF(AE1876=0,MAX(AE1874-AE1875,(AF$13*AF1873+AF$14*AF1887)*EXP(-$B$12*AF$9)),IF(AE1874&gt;AE1876,AE1874-AE1875,MAX(AE1874-AE1875,(AF$13*AF1873+AF$14*AF1887)*EXP(-$B$12*AF$9))))</f>
        <v>1.1358201718640164</v>
      </c>
    </row>
    <row r="1881" spans="23:32">
      <c r="X1881" s="48">
        <f>W1888*X$11</f>
        <v>1.9379537241412133</v>
      </c>
      <c r="Y1881" s="51"/>
      <c r="Z1881" s="48">
        <f>Y1888*Z$11</f>
        <v>1.9379537241412133</v>
      </c>
      <c r="AA1881" s="51"/>
      <c r="AB1881" s="48">
        <f>AA1888*AB$11</f>
        <v>1.9379537241412133</v>
      </c>
      <c r="AC1881" s="51"/>
      <c r="AD1881" s="48">
        <f>AC1888*AD$11</f>
        <v>1.9379537241412133</v>
      </c>
      <c r="AE1881" s="51"/>
      <c r="AF1881" s="48">
        <f>AE1888*AF$11</f>
        <v>1.9379537241412133</v>
      </c>
    </row>
    <row r="1882" spans="23:32">
      <c r="X1882" s="49">
        <f>X$18</f>
        <v>1</v>
      </c>
      <c r="Y1882" s="53"/>
      <c r="Z1882" s="49">
        <f>Z$18</f>
        <v>1</v>
      </c>
      <c r="AA1882" s="53"/>
      <c r="AB1882" s="49">
        <f>AB$18</f>
        <v>1</v>
      </c>
      <c r="AC1882" s="53"/>
      <c r="AD1882" s="49">
        <f>AD$18</f>
        <v>1</v>
      </c>
      <c r="AE1882" s="53"/>
      <c r="AF1882" s="49">
        <f>AF$18</f>
        <v>1</v>
      </c>
    </row>
    <row r="1883" spans="23:32">
      <c r="X1883" s="48">
        <f>X$19</f>
        <v>0</v>
      </c>
      <c r="Z1883" s="48">
        <f>Z$19</f>
        <v>0</v>
      </c>
      <c r="AB1883" s="48">
        <f>AB$19</f>
        <v>0</v>
      </c>
      <c r="AD1883" s="48">
        <f>AD$19</f>
        <v>0</v>
      </c>
      <c r="AF1883" s="48">
        <f>AF$19</f>
        <v>0</v>
      </c>
    </row>
    <row r="1884" spans="23:32">
      <c r="X1884" s="49"/>
      <c r="Z1884" s="49"/>
      <c r="AB1884" s="49"/>
      <c r="AD1884" s="49"/>
      <c r="AF1884" s="49"/>
    </row>
    <row r="1885" spans="23:32">
      <c r="X1885" s="50"/>
      <c r="Z1885" s="50"/>
      <c r="AB1885" s="50"/>
      <c r="AD1885" s="50"/>
      <c r="AF1885" s="50"/>
    </row>
    <row r="1886" spans="23:32">
      <c r="X1886" s="51"/>
      <c r="Z1886" s="51"/>
      <c r="AB1886" s="51"/>
      <c r="AD1886" s="51"/>
      <c r="AF1886" s="51"/>
    </row>
    <row r="1887" spans="23:32">
      <c r="W1887" s="47">
        <f>W$7</f>
        <v>16</v>
      </c>
      <c r="X1887" s="52">
        <f>IF(X1883=0,MAX(X1881-X1882,(Y$13*Y1880+Y$14*Y1894)*EXP(-$B$12*Y$9)),IF(X1881&gt;X1883,X1881-X1882,MAX(X1881-X1882,(Y$13*Y1880+Y$14*Y1894)*EXP(-$B$12*Y$9))))</f>
        <v>0.96206938691004618</v>
      </c>
      <c r="Z1887" s="52">
        <f>IF(Z1883=0,MAX(Z1881-Z1882,(AA$13*AA1880+AA$14*AA1894)*EXP(-$B$12*AA$9)),IF(Z1881&gt;Z1883,Z1881-Z1882,MAX(Z1881-Z1882,(AA$13*AA1880+AA$14*AA1894)*EXP(-$B$12*AA$9))))</f>
        <v>0.95579817361295216</v>
      </c>
      <c r="AB1887" s="52">
        <f>IF(AB1883=0,MAX(AB1881-AB1882,(AC$13*AC1880+AC$14*AC1894)*EXP(-$B$12*AC$9)),IF(AB1881&gt;AB1883,AB1881-AB1882,MAX(AB1881-AB1882,(AC$13*AC1880+AC$14*AC1894)*EXP(-$B$12*AC$9))))</f>
        <v>0.94989970531990664</v>
      </c>
      <c r="AD1887" s="52">
        <f>IF(AD1883=0,MAX(AD1881-AD1882,(AE$13*AE1880+AE$14*AE1894)*EXP(-$B$12*AE$9)),IF(AD1881&gt;AD1883,AD1881-AD1882,MAX(AD1881-AD1882,(AE$13*AE1880+AE$14*AE1894)*EXP(-$B$12*AE$9))))</f>
        <v>0.94395167520923262</v>
      </c>
      <c r="AF1887" s="52">
        <f>IF(AF1883=0,MAX(AF1881-AF1882,(AG$13*AG1880+AG$14*AG1894)*EXP(-$B$12*AG$9)),IF(AF1881&gt;AF1883,AF1881-AF1882,MAX(AF1881-AF1882,(AG$13*AG1880+AG$14*AG1894)*EXP(-$B$12*AG$9))))</f>
        <v>0.93795372414121325</v>
      </c>
    </row>
    <row r="1888" spans="23:32">
      <c r="W1888" s="48">
        <f>V1895*W$11</f>
        <v>1.7608494960926331</v>
      </c>
      <c r="X1888" s="51"/>
      <c r="Y1888" s="48">
        <f>X1895*Y$11</f>
        <v>1.7608494960926331</v>
      </c>
      <c r="Z1888" s="51"/>
      <c r="AA1888" s="48">
        <f>Z1895*AA$11</f>
        <v>1.7608494960926331</v>
      </c>
      <c r="AB1888" s="51"/>
      <c r="AC1888" s="48">
        <f>AB1895*AC$11</f>
        <v>1.7608494960926331</v>
      </c>
      <c r="AD1888" s="51"/>
      <c r="AE1888" s="48">
        <f>AD1895*AE$11</f>
        <v>1.7608494960926331</v>
      </c>
    </row>
    <row r="1889" spans="21:32">
      <c r="W1889" s="49">
        <f>W$18</f>
        <v>1</v>
      </c>
      <c r="X1889" s="53"/>
      <c r="Y1889" s="49">
        <f>Y$18</f>
        <v>1</v>
      </c>
      <c r="Z1889" s="53"/>
      <c r="AA1889" s="49">
        <f>AA$18</f>
        <v>1</v>
      </c>
      <c r="AB1889" s="53"/>
      <c r="AC1889" s="49">
        <f>AC$18</f>
        <v>1</v>
      </c>
      <c r="AD1889" s="53"/>
      <c r="AE1889" s="49">
        <f>AE$18</f>
        <v>1</v>
      </c>
    </row>
    <row r="1890" spans="21:32">
      <c r="W1890" s="48">
        <f>W$19</f>
        <v>0</v>
      </c>
      <c r="Y1890" s="48">
        <f>Y$19</f>
        <v>0</v>
      </c>
      <c r="AA1890" s="48">
        <f>AA$19</f>
        <v>0</v>
      </c>
      <c r="AC1890" s="48">
        <f>AC$19</f>
        <v>0</v>
      </c>
      <c r="AE1890" s="48">
        <f>AE$19</f>
        <v>0</v>
      </c>
    </row>
    <row r="1891" spans="21:32">
      <c r="W1891" s="49"/>
      <c r="Y1891" s="49"/>
      <c r="AA1891" s="49"/>
      <c r="AC1891" s="49"/>
      <c r="AE1891" s="49"/>
    </row>
    <row r="1892" spans="21:32">
      <c r="W1892" s="50"/>
      <c r="Y1892" s="50"/>
      <c r="AA1892" s="50"/>
      <c r="AC1892" s="50"/>
      <c r="AE1892" s="50"/>
    </row>
    <row r="1893" spans="21:32">
      <c r="W1893" s="51"/>
      <c r="Y1893" s="51"/>
      <c r="AA1893" s="51"/>
      <c r="AC1893" s="51"/>
      <c r="AE1893" s="51"/>
    </row>
    <row r="1894" spans="21:32">
      <c r="V1894" s="47">
        <f>V$7</f>
        <v>15</v>
      </c>
      <c r="W1894" s="52">
        <f>IF(W1890=0,MAX(W1888-W1889,(X$13*X1887+X$14*X1901)*EXP(-$B$12*X$9)),IF(W1888&gt;W1890,W1888-W1889,MAX(W1888-W1889,(X$13*X1887+X$14*X1901)*EXP(-$B$12*X$9))))</f>
        <v>0.79032140103152426</v>
      </c>
      <c r="Y1894" s="52">
        <f>IF(Y1890=0,MAX(Y1888-Y1889,(Z$13*Z1887+Z$14*Z1901)*EXP(-$B$12*Z$9)),IF(Y1888&gt;Y1890,Y1888-Y1889,MAX(Y1888-Y1889,(Z$13*Z1887+Z$14*Z1901)*EXP(-$B$12*Z$9))))</f>
        <v>0.78281583289915457</v>
      </c>
      <c r="AA1894" s="52">
        <f>IF(AA1890=0,MAX(AA1888-AA1889,(AB$13*AB1887+AB$14*AB1901)*EXP(-$B$12*AB$9)),IF(AA1888&gt;AA1890,AA1888-AA1889,MAX(AA1888-AA1889,(AB$13*AB1887+AB$14*AB1901)*EXP(-$B$12*AB$9))))</f>
        <v>0.77600496454207002</v>
      </c>
      <c r="AC1894" s="52">
        <f>IF(AC1890=0,MAX(AC1888-AC1889,(AD$13*AD1887+AD$14*AD1901)*EXP(-$B$12*AD$9)),IF(AC1888&gt;AC1890,AC1888-AC1889,MAX(AC1888-AC1889,(AD$13*AD1887+AD$14*AD1901)*EXP(-$B$12*AD$9))))</f>
        <v>0.76998017174607114</v>
      </c>
      <c r="AE1894" s="52">
        <f>IF(AE1890=0,MAX(AE1888-AE1889,(AF$13*AF1887+AF$14*AF1901)*EXP(-$B$12*AF$9)),IF(AE1888&gt;AE1890,AE1888-AE1889,MAX(AE1888-AE1889,(AF$13*AF1887+AF$14*AF1901)*EXP(-$B$12*AF$9))))</f>
        <v>0.76390557952768323</v>
      </c>
    </row>
    <row r="1895" spans="21:32">
      <c r="V1895" s="48">
        <f>U1902*V$11</f>
        <v>1.5999303333538981</v>
      </c>
      <c r="W1895" s="51"/>
      <c r="X1895" s="48">
        <f>W1902*X$11</f>
        <v>1.5999303333538981</v>
      </c>
      <c r="Y1895" s="51"/>
      <c r="Z1895" s="48">
        <f>Y1902*Z$11</f>
        <v>1.5999303333538981</v>
      </c>
      <c r="AA1895" s="51"/>
      <c r="AB1895" s="48">
        <f>AA1902*AB$11</f>
        <v>1.5999303333538981</v>
      </c>
      <c r="AC1895" s="51"/>
      <c r="AD1895" s="48">
        <f>AC1902*AD$11</f>
        <v>1.5999303333538981</v>
      </c>
      <c r="AE1895" s="51"/>
      <c r="AF1895" s="48">
        <f>AE1902*AF$11</f>
        <v>1.5999303333538981</v>
      </c>
    </row>
    <row r="1896" spans="21:32">
      <c r="V1896" s="49">
        <f>V$18</f>
        <v>1</v>
      </c>
      <c r="W1896" s="53"/>
      <c r="X1896" s="49">
        <f>X$18</f>
        <v>1</v>
      </c>
      <c r="Y1896" s="53"/>
      <c r="Z1896" s="49">
        <f>Z$18</f>
        <v>1</v>
      </c>
      <c r="AA1896" s="53"/>
      <c r="AB1896" s="49">
        <f>AB$18</f>
        <v>1</v>
      </c>
      <c r="AC1896" s="53"/>
      <c r="AD1896" s="49">
        <f>AD$18</f>
        <v>1</v>
      </c>
      <c r="AE1896" s="53"/>
      <c r="AF1896" s="49">
        <f>AF$18</f>
        <v>1</v>
      </c>
    </row>
    <row r="1897" spans="21:32">
      <c r="V1897" s="48">
        <f>V$19</f>
        <v>0</v>
      </c>
      <c r="X1897" s="48">
        <f>X$19</f>
        <v>0</v>
      </c>
      <c r="Z1897" s="48">
        <f>Z$19</f>
        <v>0</v>
      </c>
      <c r="AB1897" s="48">
        <f>AB$19</f>
        <v>0</v>
      </c>
      <c r="AD1897" s="48">
        <f>AD$19</f>
        <v>0</v>
      </c>
      <c r="AF1897" s="48">
        <f>AF$19</f>
        <v>0</v>
      </c>
    </row>
    <row r="1898" spans="21:32">
      <c r="V1898" s="49"/>
      <c r="X1898" s="49"/>
      <c r="Z1898" s="49"/>
      <c r="AB1898" s="49"/>
      <c r="AD1898" s="49"/>
      <c r="AF1898" s="49"/>
    </row>
    <row r="1899" spans="21:32">
      <c r="V1899" s="50"/>
      <c r="X1899" s="50"/>
      <c r="Z1899" s="50"/>
      <c r="AB1899" s="50"/>
      <c r="AD1899" s="50"/>
      <c r="AF1899" s="50"/>
    </row>
    <row r="1900" spans="21:32">
      <c r="V1900" s="51"/>
      <c r="X1900" s="51"/>
      <c r="Z1900" s="51"/>
      <c r="AB1900" s="51"/>
      <c r="AD1900" s="51"/>
      <c r="AF1900" s="51"/>
    </row>
    <row r="1901" spans="21:32">
      <c r="U1901" s="47">
        <f>U$7</f>
        <v>14</v>
      </c>
      <c r="V1901" s="52">
        <f>IF(V1897=0,MAX(V1895-V1896,(W$13*W1894+W$14*W1908)*EXP(-$B$12*W$9)),IF(V1895&gt;V1897,V1895-V1896,MAX(V1895-V1896,(W$13*W1894+W$14*W1908)*EXP(-$B$12*W$9))))</f>
        <v>0.63809209345896156</v>
      </c>
      <c r="X1901" s="52">
        <f>IF(X1897=0,MAX(X1895-X1896,(Y$13*Y1894+Y$14*Y1908)*EXP(-$B$12*Y$9)),IF(X1895&gt;X1897,X1895-X1896,MAX(X1895-X1896,(Y$13*Y1894+Y$14*Y1908)*EXP(-$B$12*Y$9))))</f>
        <v>0.62877068827101557</v>
      </c>
      <c r="Z1901" s="52">
        <f>IF(Z1897=0,MAX(Z1895-Z1896,(AA$13*AA1894+AA$14*AA1908)*EXP(-$B$12*AA$9)),IF(Z1895&gt;Z1897,Z1895-Z1896,MAX(Z1895-Z1896,(AA$13*AA1894+AA$14*AA1908)*EXP(-$B$12*AA$9))))</f>
        <v>0.62001106223609304</v>
      </c>
      <c r="AB1901" s="52">
        <f>IF(AB1897=0,MAX(AB1895-AB1896,(AC$13*AC1894+AC$14*AC1908)*EXP(-$B$12*AC$9)),IF(AB1895&gt;AB1897,AB1895-AB1896,MAX(AB1895-AB1896,(AC$13*AC1894+AC$14*AC1908)*EXP(-$B$12*AC$9))))</f>
        <v>0.6122643228585144</v>
      </c>
      <c r="AD1901" s="52">
        <f>IF(AD1897=0,MAX(AD1895-AD1896,(AE$13*AE1894+AE$14*AE1908)*EXP(-$B$12*AE$9)),IF(AD1895&gt;AD1897,AD1895-AD1896,MAX(AD1895-AD1896,(AE$13*AE1894+AE$14*AE1908)*EXP(-$B$12*AE$9))))</f>
        <v>0.6061223442899476</v>
      </c>
      <c r="AF1901" s="52">
        <f>IF(AF1897=0,MAX(AF1895-AF1896,(AG$13*AG1894+AG$14*AG1908)*EXP(-$B$12*AG$9)),IF(AF1895&gt;AF1897,AF1895-AF1896,MAX(AF1895-AF1896,(AG$13*AG1894+AG$14*AG1908)*EXP(-$B$12*AG$9))))</f>
        <v>0.59993033335389812</v>
      </c>
    </row>
    <row r="1902" spans="21:32">
      <c r="U1902" s="48">
        <f>T1909*U$11</f>
        <v>1.4537171275944492</v>
      </c>
      <c r="V1902" s="51"/>
      <c r="W1902" s="48">
        <f>V1909*W$11</f>
        <v>1.4537171275944492</v>
      </c>
      <c r="X1902" s="51"/>
      <c r="Y1902" s="48">
        <f>X1909*Y$11</f>
        <v>1.4537171275944492</v>
      </c>
      <c r="Z1902" s="51"/>
      <c r="AA1902" s="48">
        <f>Z1909*AA$11</f>
        <v>1.4537171275944492</v>
      </c>
      <c r="AB1902" s="51"/>
      <c r="AC1902" s="48">
        <f>AB1909*AC$11</f>
        <v>1.4537171275944492</v>
      </c>
      <c r="AD1902" s="51"/>
      <c r="AE1902" s="48">
        <f>AD1909*AE$11</f>
        <v>1.4537171275944492</v>
      </c>
    </row>
    <row r="1903" spans="21:32">
      <c r="U1903" s="49">
        <f>U$18</f>
        <v>1</v>
      </c>
      <c r="V1903" s="53"/>
      <c r="W1903" s="49">
        <f>W$18</f>
        <v>1</v>
      </c>
      <c r="X1903" s="53"/>
      <c r="Y1903" s="49">
        <f>Y$18</f>
        <v>1</v>
      </c>
      <c r="Z1903" s="53"/>
      <c r="AA1903" s="49">
        <f>AA$18</f>
        <v>1</v>
      </c>
      <c r="AB1903" s="53"/>
      <c r="AC1903" s="49">
        <f>AC$18</f>
        <v>1</v>
      </c>
      <c r="AD1903" s="53"/>
      <c r="AE1903" s="49">
        <f>AE$18</f>
        <v>1</v>
      </c>
    </row>
    <row r="1904" spans="21:32">
      <c r="U1904" s="48">
        <f>U$19</f>
        <v>0</v>
      </c>
      <c r="W1904" s="48">
        <f>W$19</f>
        <v>0</v>
      </c>
      <c r="Y1904" s="48">
        <f>Y$19</f>
        <v>0</v>
      </c>
      <c r="AA1904" s="48">
        <f>AA$19</f>
        <v>0</v>
      </c>
      <c r="AC1904" s="48">
        <f>AC$19</f>
        <v>0</v>
      </c>
      <c r="AE1904" s="48">
        <f>AE$19</f>
        <v>0</v>
      </c>
    </row>
    <row r="1905" spans="19:32">
      <c r="U1905" s="49"/>
      <c r="W1905" s="49"/>
      <c r="Y1905" s="49"/>
      <c r="AA1905" s="49"/>
      <c r="AC1905" s="49"/>
      <c r="AE1905" s="49"/>
    </row>
    <row r="1906" spans="19:32">
      <c r="U1906" s="50"/>
      <c r="W1906" s="50"/>
      <c r="Y1906" s="50"/>
      <c r="AA1906" s="50"/>
      <c r="AC1906" s="50"/>
      <c r="AE1906" s="50"/>
    </row>
    <row r="1907" spans="19:32">
      <c r="U1907" s="51"/>
      <c r="W1907" s="51"/>
      <c r="Y1907" s="51"/>
      <c r="AA1907" s="51"/>
      <c r="AC1907" s="51"/>
      <c r="AE1907" s="51"/>
    </row>
    <row r="1908" spans="19:32">
      <c r="T1908" s="47">
        <f>T$7</f>
        <v>13</v>
      </c>
      <c r="U1908" s="52">
        <f>IF(U1904=0,MAX(U1902-U1903,(V$13*V1901+V$14*V1915)*EXP(-$B$12*V$9)),IF(U1902&gt;U1904,U1902-U1903,MAX(U1902-U1903,(V$13*V1901+V$14*V1915)*EXP(-$B$12*V$9))))</f>
        <v>0.50569242818216209</v>
      </c>
      <c r="W1908" s="52">
        <f>IF(W1904=0,MAX(W1902-W1903,(X$13*X1901+X$14*X1915)*EXP(-$B$12*X$9)),IF(W1902&gt;W1904,W1902-W1903,MAX(W1902-W1903,(X$13*X1901+X$14*X1915)*EXP(-$B$12*X$9))))</f>
        <v>0.49446101312117569</v>
      </c>
      <c r="Y1908" s="52">
        <f>IF(Y1904=0,MAX(Y1902-Y1903,(Z$13*Z1901+Z$14*Z1915)*EXP(-$B$12*Z$9)),IF(Y1902&gt;Y1904,Y1902-Y1903,MAX(Y1902-Y1903,(Z$13*Z1901+Z$14*Z1915)*EXP(-$B$12*Z$9))))</f>
        <v>0.4833069155732948</v>
      </c>
      <c r="AA1908" s="52">
        <f>IF(AA1904=0,MAX(AA1902-AA1903,(AB$13*AB1901+AB$14*AB1915)*EXP(-$B$12*AB$9)),IF(AA1902&gt;AA1904,AA1902-AA1903,MAX(AA1902-AA1903,(AB$13*AB1901+AB$14*AB1915)*EXP(-$B$12*AB$9))))</f>
        <v>0.47258921678753602</v>
      </c>
      <c r="AC1908" s="52">
        <f>IF(AC1904=0,MAX(AC1902-AC1903,(AD$13*AD1901+AD$14*AD1915)*EXP(-$B$12*AD$9)),IF(AC1902&gt;AC1904,AC1902-AC1903,MAX(AC1902-AC1903,(AD$13*AD1901+AD$14*AD1915)*EXP(-$B$12*AD$9))))</f>
        <v>0.46311225319405613</v>
      </c>
      <c r="AE1908" s="52">
        <f>IF(AE1904=0,MAX(AE1902-AE1903,(AF$13*AF1901+AF$14*AF1915)*EXP(-$B$12*AF$9)),IF(AE1902&gt;AE1904,AE1902-AE1903,MAX(AE1902-AE1903,(AF$13*AF1901+AF$14*AF1915)*EXP(-$B$12*AF$9))))</f>
        <v>0.45686138632356843</v>
      </c>
    </row>
    <row r="1909" spans="19:32">
      <c r="T1909" s="48">
        <f>S1916*T$11</f>
        <v>1.3208659421009952</v>
      </c>
      <c r="U1909" s="51"/>
      <c r="V1909" s="48">
        <f>U1916*V$11</f>
        <v>1.3208659421009952</v>
      </c>
      <c r="W1909" s="51"/>
      <c r="X1909" s="48">
        <f>W1916*X$11</f>
        <v>1.3208659421009952</v>
      </c>
      <c r="Y1909" s="51"/>
      <c r="Z1909" s="48">
        <f>Y1916*Z$11</f>
        <v>1.3208659421009952</v>
      </c>
      <c r="AA1909" s="51"/>
      <c r="AB1909" s="48">
        <f>AA1916*AB$11</f>
        <v>1.3208659421009952</v>
      </c>
      <c r="AC1909" s="51"/>
      <c r="AD1909" s="48">
        <f>AC1916*AD$11</f>
        <v>1.3208659421009952</v>
      </c>
      <c r="AE1909" s="51"/>
      <c r="AF1909" s="48">
        <f>AE1916*AF$11</f>
        <v>1.3208659421009952</v>
      </c>
    </row>
    <row r="1910" spans="19:32">
      <c r="T1910" s="49">
        <f>T$18</f>
        <v>1</v>
      </c>
      <c r="U1910" s="53"/>
      <c r="V1910" s="49">
        <f>V$18</f>
        <v>1</v>
      </c>
      <c r="W1910" s="53"/>
      <c r="X1910" s="49">
        <f>X$18</f>
        <v>1</v>
      </c>
      <c r="Y1910" s="53"/>
      <c r="Z1910" s="49">
        <f>Z$18</f>
        <v>1</v>
      </c>
      <c r="AA1910" s="53"/>
      <c r="AB1910" s="49">
        <f>AB$18</f>
        <v>1</v>
      </c>
      <c r="AC1910" s="53"/>
      <c r="AD1910" s="49">
        <f>AD$18</f>
        <v>1</v>
      </c>
      <c r="AE1910" s="53"/>
      <c r="AF1910" s="49">
        <f>AF$18</f>
        <v>1</v>
      </c>
    </row>
    <row r="1911" spans="19:32">
      <c r="T1911" s="48">
        <f>T$19</f>
        <v>0</v>
      </c>
      <c r="V1911" s="48">
        <f>V$19</f>
        <v>0</v>
      </c>
      <c r="X1911" s="48">
        <f>X$19</f>
        <v>0</v>
      </c>
      <c r="Z1911" s="48">
        <f>Z$19</f>
        <v>0</v>
      </c>
      <c r="AB1911" s="48">
        <f>AB$19</f>
        <v>0</v>
      </c>
      <c r="AD1911" s="48">
        <f>AD$19</f>
        <v>0</v>
      </c>
      <c r="AF1911" s="48">
        <f>AF$19</f>
        <v>0</v>
      </c>
    </row>
    <row r="1912" spans="19:32">
      <c r="T1912" s="49"/>
      <c r="V1912" s="49"/>
      <c r="X1912" s="49"/>
      <c r="Z1912" s="49"/>
      <c r="AB1912" s="49"/>
      <c r="AD1912" s="49"/>
      <c r="AF1912" s="49"/>
    </row>
    <row r="1913" spans="19:32">
      <c r="T1913" s="50"/>
      <c r="V1913" s="50"/>
      <c r="X1913" s="50"/>
      <c r="Z1913" s="50"/>
      <c r="AB1913" s="50"/>
      <c r="AD1913" s="50"/>
      <c r="AF1913" s="50"/>
    </row>
    <row r="1914" spans="19:32">
      <c r="T1914" s="51"/>
      <c r="V1914" s="51"/>
      <c r="X1914" s="51"/>
      <c r="Z1914" s="51"/>
      <c r="AB1914" s="51"/>
      <c r="AD1914" s="51"/>
      <c r="AF1914" s="51"/>
    </row>
    <row r="1915" spans="19:32">
      <c r="S1915" s="47">
        <f>S$7</f>
        <v>12</v>
      </c>
      <c r="T1915" s="52">
        <f>IF(T1911=0,MAX(T1909-T1910,(U$13*U1908+U$14*U1922)*EXP(-$B$12*U$9)),IF(T1909&gt;T1911,T1909-T1910,MAX(T1909-T1910,(U$13*U1908+U$14*U1922)*EXP(-$B$12*U$9))))</f>
        <v>0.39313086927140511</v>
      </c>
      <c r="V1915" s="52">
        <f>IF(V1911=0,MAX(V1909-V1910,(W$13*W1908+W$14*W1922)*EXP(-$B$12*W$9)),IF(V1909&gt;V1911,V1909-V1910,MAX(V1909-V1910,(W$13*W1908+W$14*W1922)*EXP(-$B$12*W$9))))</f>
        <v>0.38042342059276035</v>
      </c>
      <c r="X1915" s="52">
        <f>IF(X1911=0,MAX(X1909-X1910,(Y$13*Y1908+Y$14*Y1922)*EXP(-$B$12*Y$9)),IF(X1909&gt;X1911,X1909-X1910,MAX(X1909-X1910,(Y$13*Y1908+Y$14*Y1922)*EXP(-$B$12*Y$9))))</f>
        <v>0.36725420528585379</v>
      </c>
      <c r="Z1915" s="52">
        <f>IF(Z1911=0,MAX(Z1909-Z1910,(AA$13*AA1908+AA$14*AA1922)*EXP(-$B$12*AA$9)),IF(Z1909&gt;Z1911,Z1909-Z1910,MAX(Z1909-Z1910,(AA$13*AA1908+AA$14*AA1922)*EXP(-$B$12*AA$9))))</f>
        <v>0.35369143314867257</v>
      </c>
      <c r="AB1915" s="52">
        <f>IF(AB1911=0,MAX(AB1909-AB1910,(AC$13*AC1908+AC$14*AC1922)*EXP(-$B$12*AC$9)),IF(AB1909&gt;AB1911,AB1909-AB1910,MAX(AB1909-AB1910,(AC$13*AC1908+AC$14*AC1922)*EXP(-$B$12*AC$9))))</f>
        <v>0.34000716898558231</v>
      </c>
      <c r="AD1915" s="52">
        <f>IF(AD1911=0,MAX(AD1909-AD1910,(AE$13*AE1908+AE$14*AE1922)*EXP(-$B$12*AE$9)),IF(AD1909&gt;AD1911,AD1909-AD1910,MAX(AD1909-AD1910,(AE$13*AE1908+AE$14*AE1922)*EXP(-$B$12*AE$9))))</f>
        <v>0.3272181644319197</v>
      </c>
      <c r="AF1915" s="52">
        <f>IF(AF1911=0,MAX(AF1909-AF1910,(AG$13*AG1908+AG$14*AG1922)*EXP(-$B$12*AG$9)),IF(AF1909&gt;AF1911,AF1909-AF1910,MAX(AF1909-AF1910,(AG$13*AG1908+AG$14*AG1922)*EXP(-$B$12*AG$9))))</f>
        <v>0.32086594210099517</v>
      </c>
    </row>
    <row r="1916" spans="19:32">
      <c r="S1916" s="48">
        <f>R1923*S$11</f>
        <v>1.2001556588174653</v>
      </c>
      <c r="T1916" s="51"/>
      <c r="U1916" s="48">
        <f>T1923*U$11</f>
        <v>1.2001556588174653</v>
      </c>
      <c r="V1916" s="51"/>
      <c r="W1916" s="48">
        <f>V1923*W$11</f>
        <v>1.2001556588174653</v>
      </c>
      <c r="X1916" s="51"/>
      <c r="Y1916" s="48">
        <f>X1923*Y$11</f>
        <v>1.2001556588174653</v>
      </c>
      <c r="Z1916" s="51"/>
      <c r="AA1916" s="48">
        <f>Z1923*AA$11</f>
        <v>1.2001556588174653</v>
      </c>
      <c r="AB1916" s="51"/>
      <c r="AC1916" s="48">
        <f>AB1923*AC$11</f>
        <v>1.2001556588174653</v>
      </c>
      <c r="AD1916" s="51"/>
      <c r="AE1916" s="48">
        <f>AD1923*AE$11</f>
        <v>1.2001556588174653</v>
      </c>
    </row>
    <row r="1917" spans="19:32">
      <c r="S1917" s="49">
        <f>S$18</f>
        <v>1</v>
      </c>
      <c r="T1917" s="53"/>
      <c r="U1917" s="49">
        <f>U$18</f>
        <v>1</v>
      </c>
      <c r="V1917" s="53"/>
      <c r="W1917" s="49">
        <f>W$18</f>
        <v>1</v>
      </c>
      <c r="X1917" s="53"/>
      <c r="Y1917" s="49">
        <f>Y$18</f>
        <v>1</v>
      </c>
      <c r="Z1917" s="53"/>
      <c r="AA1917" s="49">
        <f>AA$18</f>
        <v>1</v>
      </c>
      <c r="AB1917" s="53"/>
      <c r="AC1917" s="49">
        <f>AC$18</f>
        <v>1</v>
      </c>
      <c r="AD1917" s="53"/>
      <c r="AE1917" s="49">
        <f>AE$18</f>
        <v>1</v>
      </c>
    </row>
    <row r="1918" spans="19:32">
      <c r="S1918" s="48">
        <f>S$19</f>
        <v>0</v>
      </c>
      <c r="U1918" s="48">
        <f>U$19</f>
        <v>0</v>
      </c>
      <c r="W1918" s="48">
        <f>W$19</f>
        <v>0</v>
      </c>
      <c r="Y1918" s="48">
        <f>Y$19</f>
        <v>0</v>
      </c>
      <c r="AA1918" s="48">
        <f>AA$19</f>
        <v>0</v>
      </c>
      <c r="AC1918" s="48">
        <f>AC$19</f>
        <v>0</v>
      </c>
      <c r="AE1918" s="48">
        <f>AE$19</f>
        <v>0</v>
      </c>
    </row>
    <row r="1919" spans="19:32">
      <c r="S1919" s="49"/>
      <c r="U1919" s="49"/>
      <c r="W1919" s="49"/>
      <c r="Y1919" s="49"/>
      <c r="AA1919" s="49"/>
      <c r="AC1919" s="49"/>
      <c r="AE1919" s="49"/>
    </row>
    <row r="1920" spans="19:32">
      <c r="S1920" s="50"/>
      <c r="U1920" s="50"/>
      <c r="W1920" s="50"/>
      <c r="Y1920" s="50"/>
      <c r="AA1920" s="50"/>
      <c r="AC1920" s="50"/>
      <c r="AE1920" s="50"/>
    </row>
    <row r="1921" spans="16:32">
      <c r="S1921" s="51"/>
      <c r="U1921" s="51"/>
      <c r="W1921" s="51"/>
      <c r="Y1921" s="51"/>
      <c r="AA1921" s="51"/>
      <c r="AC1921" s="51"/>
      <c r="AE1921" s="51"/>
    </row>
    <row r="1922" spans="16:32">
      <c r="R1922" s="47">
        <f>R$7</f>
        <v>11</v>
      </c>
      <c r="S1922" s="52">
        <f>IF(S1918=0,MAX(S1916-S1917,(T$13*T1915+T$14*T1929)*EXP(-$B$12*T$9)),IF(S1916&gt;S1918,S1916-S1917,MAX(S1916-S1917,(T$13*T1915+T$14*T1929)*EXP(-$B$12*T$9))))</f>
        <v>0.29977983366642685</v>
      </c>
      <c r="U1922" s="52">
        <f>IF(U1918=0,MAX(U1916-U1917,(V$13*V1915+V$14*V1929)*EXP(-$B$12*V$9)),IF(U1916&gt;U1918,U1916-U1917,MAX(U1916-U1917,(V$13*V1915+V$14*V1929)*EXP(-$B$12*V$9))))</f>
        <v>0.2863720780209138</v>
      </c>
      <c r="W1922" s="52">
        <f>IF(W1918=0,MAX(W1916-W1917,(X$13*X1915+X$14*X1929)*EXP(-$B$12*X$9)),IF(W1916&gt;W1918,W1916-W1917,MAX(W1916-W1917,(X$13*X1915+X$14*X1929)*EXP(-$B$12*X$9))))</f>
        <v>0.2721387127699148</v>
      </c>
      <c r="Y1922" s="52">
        <f>IF(Y1918=0,MAX(Y1916-Y1917,(Z$13*Z1915+Z$14*Z1929)*EXP(-$B$12*Z$9)),IF(Y1916&gt;Y1918,Y1916-Y1917,MAX(Y1916-Y1917,(Z$13*Z1915+Z$14*Z1929)*EXP(-$B$12*Z$9))))</f>
        <v>0.25691575265125116</v>
      </c>
      <c r="AA1922" s="52">
        <f>IF(AA1918=0,MAX(AA1916-AA1917,(AB$13*AB1915+AB$14*AB1929)*EXP(-$B$12*AB$9)),IF(AA1916&gt;AA1918,AA1916-AA1917,MAX(AA1916-AA1917,(AB$13*AB1915+AB$14*AB1929)*EXP(-$B$12*AB$9))))</f>
        <v>0.24048884750457203</v>
      </c>
      <c r="AC1922" s="52">
        <f>IF(AC1918=0,MAX(AC1916-AC1917,(AD$13*AD1915+AD$14*AD1929)*EXP(-$B$12*AD$9)),IF(AC1916&gt;AC1918,AC1916-AC1917,MAX(AC1916-AC1917,(AD$13*AD1915+AD$14*AD1929)*EXP(-$B$12*AD$9))))</f>
        <v>0.22261403832724494</v>
      </c>
      <c r="AE1922" s="52">
        <f>IF(AE1918=0,MAX(AE1916-AE1917,(AF$13*AF1915+AF$14*AF1929)*EXP(-$B$12*AF$9)),IF(AE1916&gt;AE1918,AE1916-AE1917,MAX(AE1916-AE1917,(AF$13*AF1915+AF$14*AF1929)*EXP(-$B$12*AF$9))))</f>
        <v>0.2033727130555156</v>
      </c>
    </row>
    <row r="1923" spans="16:32">
      <c r="R1923" s="48">
        <f>Q1930*R$11</f>
        <v>1.0904767542877953</v>
      </c>
      <c r="S1923" s="51"/>
      <c r="T1923" s="48">
        <f>S1930*T$11</f>
        <v>1.0904767542877953</v>
      </c>
      <c r="U1923" s="51"/>
      <c r="V1923" s="48">
        <f>U1930*V$11</f>
        <v>1.0904767542877953</v>
      </c>
      <c r="W1923" s="51"/>
      <c r="X1923" s="48">
        <f>W1930*X$11</f>
        <v>1.0904767542877953</v>
      </c>
      <c r="Y1923" s="51"/>
      <c r="Z1923" s="48">
        <f>Y1930*Z$11</f>
        <v>1.0904767542877953</v>
      </c>
      <c r="AA1923" s="51"/>
      <c r="AB1923" s="48">
        <f>AA1930*AB$11</f>
        <v>1.0904767542877953</v>
      </c>
      <c r="AC1923" s="51"/>
      <c r="AD1923" s="48">
        <f>AC1930*AD$11</f>
        <v>1.0904767542877953</v>
      </c>
      <c r="AE1923" s="51"/>
      <c r="AF1923" s="48">
        <f>AE1930*AF$11</f>
        <v>1.0904767542877953</v>
      </c>
    </row>
    <row r="1924" spans="16:32">
      <c r="R1924" s="49">
        <f>R$18</f>
        <v>1</v>
      </c>
      <c r="S1924" s="53"/>
      <c r="T1924" s="49">
        <f>T$18</f>
        <v>1</v>
      </c>
      <c r="U1924" s="53"/>
      <c r="V1924" s="49">
        <f>V$18</f>
        <v>1</v>
      </c>
      <c r="W1924" s="53"/>
      <c r="X1924" s="49">
        <f>X$18</f>
        <v>1</v>
      </c>
      <c r="Y1924" s="53"/>
      <c r="Z1924" s="49">
        <f>Z$18</f>
        <v>1</v>
      </c>
      <c r="AA1924" s="53"/>
      <c r="AB1924" s="49">
        <f>AB$18</f>
        <v>1</v>
      </c>
      <c r="AC1924" s="53"/>
      <c r="AD1924" s="49">
        <f>AD$18</f>
        <v>1</v>
      </c>
      <c r="AE1924" s="53"/>
      <c r="AF1924" s="49">
        <f>AF$18</f>
        <v>1</v>
      </c>
    </row>
    <row r="1925" spans="16:32">
      <c r="R1925" s="48">
        <f>R$19</f>
        <v>0</v>
      </c>
      <c r="T1925" s="48">
        <f>T$19</f>
        <v>0</v>
      </c>
      <c r="V1925" s="48">
        <f>V$19</f>
        <v>0</v>
      </c>
      <c r="X1925" s="48">
        <f>X$19</f>
        <v>0</v>
      </c>
      <c r="Z1925" s="48">
        <f>Z$19</f>
        <v>0</v>
      </c>
      <c r="AB1925" s="48">
        <f>AB$19</f>
        <v>0</v>
      </c>
      <c r="AD1925" s="48">
        <f>AD$19</f>
        <v>0</v>
      </c>
      <c r="AF1925" s="48">
        <f>AF$19</f>
        <v>0</v>
      </c>
    </row>
    <row r="1926" spans="16:32">
      <c r="R1926" s="49"/>
      <c r="T1926" s="49"/>
      <c r="V1926" s="49"/>
      <c r="X1926" s="49"/>
      <c r="Z1926" s="49"/>
      <c r="AB1926" s="49"/>
      <c r="AD1926" s="49"/>
      <c r="AF1926" s="49"/>
    </row>
    <row r="1927" spans="16:32">
      <c r="R1927" s="50"/>
      <c r="T1927" s="50"/>
      <c r="V1927" s="50"/>
      <c r="X1927" s="50"/>
      <c r="Z1927" s="50"/>
      <c r="AB1927" s="50"/>
      <c r="AD1927" s="50"/>
      <c r="AF1927" s="50"/>
    </row>
    <row r="1928" spans="16:32">
      <c r="R1928" s="51"/>
      <c r="T1928" s="51"/>
      <c r="V1928" s="51"/>
      <c r="X1928" s="51"/>
      <c r="Z1928" s="51"/>
      <c r="AB1928" s="51"/>
      <c r="AD1928" s="51"/>
      <c r="AF1928" s="51"/>
    </row>
    <row r="1929" spans="16:32">
      <c r="Q1929" s="47">
        <f>Q$7</f>
        <v>10</v>
      </c>
      <c r="R1929" s="52">
        <f>IF(R1925=0,MAX(R1923-R1924,(S$13*S1922+S$14*S1936)*EXP(-$B$12*S$9)),IF(R1923&gt;R1925,R1923-R1924,MAX(R1923-R1924,(S$13*S1922+S$14*S1936)*EXP(-$B$12*S$9))))</f>
        <v>0.22430227801032365</v>
      </c>
      <c r="T1929" s="52">
        <f>IF(T1925=0,MAX(T1923-T1924,(U$13*U1922+U$14*U1936)*EXP(-$B$12*U$9)),IF(T1923&gt;T1925,T1923-T1924,MAX(T1923-T1924,(U$13*U1922+U$14*U1936)*EXP(-$B$12*U$9))))</f>
        <v>0.21105605200952665</v>
      </c>
      <c r="V1929" s="52">
        <f>IF(V1925=0,MAX(V1923-V1924,(W$13*W1922+W$14*W1936)*EXP(-$B$12*W$9)),IF(V1923&gt;V1925,V1923-V1924,MAX(V1923-V1924,(W$13*W1922+W$14*W1936)*EXP(-$B$12*W$9))))</f>
        <v>0.19687228449905225</v>
      </c>
      <c r="X1929" s="52">
        <f>IF(X1925=0,MAX(X1923-X1924,(Y$13*Y1922+Y$14*Y1936)*EXP(-$B$12*Y$9)),IF(X1923&gt;X1925,X1923-X1924,MAX(X1923-X1924,(Y$13*Y1922+Y$14*Y1936)*EXP(-$B$12*Y$9))))</f>
        <v>0.18150303671656606</v>
      </c>
      <c r="Z1929" s="52">
        <f>IF(Z1925=0,MAX(Z1923-Z1924,(AA$13*AA1922+AA$14*AA1936)*EXP(-$B$12*AA$9)),IF(Z1923&gt;Z1925,Z1923-Z1924,MAX(Z1923-Z1924,(AA$13*AA1922+AA$14*AA1936)*EXP(-$B$12*AA$9))))</f>
        <v>0.16455722268081108</v>
      </c>
      <c r="AB1929" s="52">
        <f>IF(AB1925=0,MAX(AB1923-AB1924,(AC$13*AC1922+AC$14*AC1936)*EXP(-$B$12*AC$9)),IF(AB1923&gt;AB1925,AB1923-AB1924,MAX(AB1923-AB1924,(AC$13*AC1922+AC$14*AC1936)*EXP(-$B$12*AC$9))))</f>
        <v>0.14534566017449002</v>
      </c>
      <c r="AD1929" s="52">
        <f>IF(AD1925=0,MAX(AD1923-AD1924,(AE$13*AE1922+AE$14*AE1936)*EXP(-$B$12*AE$9)),IF(AD1923&gt;AD1925,AD1923-AD1924,MAX(AD1923-AD1924,(AE$13*AE1922+AE$14*AE1936)*EXP(-$B$12*AE$9))))</f>
        <v>0.12239589818597955</v>
      </c>
      <c r="AF1929" s="52">
        <f>IF(AF1925=0,MAX(AF1923-AF1924,(AG$13*AG1922+AG$14*AG1936)*EXP(-$B$12*AG$9)),IF(AF1923&gt;AF1925,AF1923-AF1924,MAX(AF1923-AF1924,(AG$13*AG1922+AG$14*AG1936)*EXP(-$B$12*AG$9))))</f>
        <v>9.0476754287795336E-2</v>
      </c>
    </row>
    <row r="1930" spans="16:32">
      <c r="Q1930" s="48">
        <f>P1937*Q$11</f>
        <v>0.99082110133424284</v>
      </c>
      <c r="R1930" s="51"/>
      <c r="S1930" s="48">
        <f>R1937*S$11</f>
        <v>0.99082110133424284</v>
      </c>
      <c r="T1930" s="51"/>
      <c r="U1930" s="48">
        <f>T1937*U$11</f>
        <v>0.99082110133424284</v>
      </c>
      <c r="V1930" s="51"/>
      <c r="W1930" s="48">
        <f>V1937*W$11</f>
        <v>0.99082110133424284</v>
      </c>
      <c r="X1930" s="51"/>
      <c r="Y1930" s="48">
        <f>X1937*Y$11</f>
        <v>0.99082110133424284</v>
      </c>
      <c r="Z1930" s="51"/>
      <c r="AA1930" s="48">
        <f>Z1937*AA$11</f>
        <v>0.99082110133424284</v>
      </c>
      <c r="AB1930" s="51"/>
      <c r="AC1930" s="48">
        <f>AB1937*AC$11</f>
        <v>0.99082110133424284</v>
      </c>
      <c r="AD1930" s="51"/>
      <c r="AE1930" s="48">
        <f>AD1937*AE$11</f>
        <v>0.99082110133424284</v>
      </c>
    </row>
    <row r="1931" spans="16:32">
      <c r="Q1931" s="49">
        <f>Q$18</f>
        <v>1</v>
      </c>
      <c r="R1931" s="53"/>
      <c r="S1931" s="49">
        <f>S$18</f>
        <v>1</v>
      </c>
      <c r="T1931" s="53"/>
      <c r="U1931" s="49">
        <f>U$18</f>
        <v>1</v>
      </c>
      <c r="V1931" s="53"/>
      <c r="W1931" s="49">
        <f>W$18</f>
        <v>1</v>
      </c>
      <c r="X1931" s="53"/>
      <c r="Y1931" s="49">
        <f>Y$18</f>
        <v>1</v>
      </c>
      <c r="Z1931" s="53"/>
      <c r="AA1931" s="49">
        <f>AA$18</f>
        <v>1</v>
      </c>
      <c r="AB1931" s="53"/>
      <c r="AC1931" s="49">
        <f>AC$18</f>
        <v>1</v>
      </c>
      <c r="AD1931" s="53"/>
      <c r="AE1931" s="49">
        <f>AE$18</f>
        <v>1</v>
      </c>
    </row>
    <row r="1932" spans="16:32">
      <c r="Q1932" s="48">
        <f>Q$19</f>
        <v>0</v>
      </c>
      <c r="S1932" s="48">
        <f>S$19</f>
        <v>0</v>
      </c>
      <c r="U1932" s="48">
        <f>U$19</f>
        <v>0</v>
      </c>
      <c r="W1932" s="48">
        <f>W$19</f>
        <v>0</v>
      </c>
      <c r="Y1932" s="48">
        <f>Y$19</f>
        <v>0</v>
      </c>
      <c r="AA1932" s="48">
        <f>AA$19</f>
        <v>0</v>
      </c>
      <c r="AC1932" s="48">
        <f>AC$19</f>
        <v>0</v>
      </c>
      <c r="AE1932" s="48">
        <f>AE$19</f>
        <v>0</v>
      </c>
    </row>
    <row r="1933" spans="16:32">
      <c r="Q1933" s="49"/>
      <c r="S1933" s="49"/>
      <c r="U1933" s="49"/>
      <c r="W1933" s="49"/>
      <c r="Y1933" s="49"/>
      <c r="AA1933" s="49"/>
      <c r="AC1933" s="49"/>
      <c r="AE1933" s="49"/>
    </row>
    <row r="1934" spans="16:32">
      <c r="Q1934" s="50"/>
      <c r="S1934" s="50"/>
      <c r="U1934" s="50"/>
      <c r="W1934" s="50"/>
      <c r="Y1934" s="50"/>
      <c r="AA1934" s="50"/>
      <c r="AC1934" s="50"/>
      <c r="AE1934" s="50"/>
    </row>
    <row r="1935" spans="16:32">
      <c r="Q1935" s="51"/>
      <c r="S1935" s="51"/>
      <c r="U1935" s="51"/>
      <c r="W1935" s="51"/>
      <c r="Y1935" s="51"/>
      <c r="AA1935" s="51"/>
      <c r="AC1935" s="51"/>
      <c r="AE1935" s="51"/>
    </row>
    <row r="1936" spans="16:32">
      <c r="P1936" s="47">
        <f>P$7</f>
        <v>9</v>
      </c>
      <c r="Q1936" s="52">
        <f>IF(Q1932=0,MAX(Q1930-Q1931,(R$13*R1929+R$14*R1943)*EXP(-$B$12*R$9)),IF(Q1930&gt;Q1932,Q1930-Q1931,MAX(Q1930-Q1931,(R$13*R1929+R$14*R1943)*EXP(-$B$12*R$9))))</f>
        <v>0.16478180695569858</v>
      </c>
      <c r="S1936" s="52">
        <f>IF(S1932=0,MAX(S1930-S1931,(T$13*T1929+T$14*T1943)*EXP(-$B$12*T$9)),IF(S1930&gt;S1932,S1930-S1931,MAX(S1930-S1931,(T$13*T1929+T$14*T1943)*EXP(-$B$12*T$9))))</f>
        <v>0.15243850859153593</v>
      </c>
      <c r="U1936" s="52">
        <f>IF(U1932=0,MAX(U1930-U1931,(V$13*V1929+V$14*V1943)*EXP(-$B$12*V$9)),IF(U1930&gt;U1932,U1930-U1931,MAX(U1930-U1931,(V$13*V1929+V$14*V1943)*EXP(-$B$12*V$9))))</f>
        <v>0.1392560453236269</v>
      </c>
      <c r="W1936" s="52">
        <f>IF(W1932=0,MAX(W1930-W1931,(X$13*X1929+X$14*X1943)*EXP(-$B$12*X$9)),IF(W1930&gt;W1932,W1930-W1931,MAX(W1930-W1931,(X$13*X1929+X$14*X1943)*EXP(-$B$12*X$9))))</f>
        <v>0.12502050994998287</v>
      </c>
      <c r="Y1936" s="52">
        <f>IF(Y1932=0,MAX(Y1930-Y1931,(Z$13*Z1929+Z$14*Z1943)*EXP(-$B$12*Z$9)),IF(Y1930&gt;Y1932,Y1930-Y1931,MAX(Y1930-Y1931,(Z$13*Z1929+Z$14*Z1943)*EXP(-$B$12*Z$9))))</f>
        <v>0.10940052171290923</v>
      </c>
      <c r="AA1936" s="52">
        <f>IF(AA1932=0,MAX(AA1930-AA1931,(AB$13*AB1929+AB$14*AB1943)*EXP(-$B$12*AB$9)),IF(AA1930&gt;AA1932,AA1930-AA1931,MAX(AA1930-AA1931,(AB$13*AB1929+AB$14*AB1943)*EXP(-$B$12*AB$9))))</f>
        <v>9.1830258535130077E-2</v>
      </c>
      <c r="AC1936" s="52">
        <f>IF(AC1932=0,MAX(AC1930-AC1931,(AD$13*AD1929+AD$14*AD1943)*EXP(-$B$12*AD$9)),IF(AC1930&gt;AC1932,AC1930-AC1931,MAX(AC1930-AC1931,(AD$13*AD1929+AD$14*AD1943)*EXP(-$B$12*AD$9))))</f>
        <v>7.1182440251778126E-2</v>
      </c>
      <c r="AE1936" s="52">
        <f>IF(AE1932=0,MAX(AE1930-AE1931,(AF$13*AF1929+AF$14*AF1943)*EXP(-$B$12*AF$9)),IF(AE1930&gt;AE1932,AE1930-AE1931,MAX(AE1930-AE1931,(AF$13*AF1929+AF$14*AF1943)*EXP(-$B$12*AF$9))))</f>
        <v>4.4462222848276695E-2</v>
      </c>
    </row>
    <row r="1937" spans="14:32">
      <c r="P1937" s="48">
        <f>O1944*P$11</f>
        <v>0.90027270273210025</v>
      </c>
      <c r="Q1937" s="51"/>
      <c r="R1937" s="48">
        <f>Q1944*R$11</f>
        <v>0.90027270273210025</v>
      </c>
      <c r="S1937" s="51"/>
      <c r="T1937" s="48">
        <f>S1944*T$11</f>
        <v>0.90027270273210025</v>
      </c>
      <c r="U1937" s="51"/>
      <c r="V1937" s="48">
        <f>U1944*V$11</f>
        <v>0.90027270273210025</v>
      </c>
      <c r="W1937" s="51"/>
      <c r="X1937" s="48">
        <f>W1944*X$11</f>
        <v>0.90027270273210025</v>
      </c>
      <c r="Y1937" s="51"/>
      <c r="Z1937" s="48">
        <f>Y1944*Z$11</f>
        <v>0.90027270273210025</v>
      </c>
      <c r="AA1937" s="51"/>
      <c r="AB1937" s="48">
        <f>AA1944*AB$11</f>
        <v>0.90027270273210025</v>
      </c>
      <c r="AC1937" s="51"/>
      <c r="AD1937" s="48">
        <f>AC1944*AD$11</f>
        <v>0.90027270273210025</v>
      </c>
      <c r="AE1937" s="51"/>
      <c r="AF1937" s="48">
        <f>AE1944*AF$11</f>
        <v>0.90027270273210025</v>
      </c>
    </row>
    <row r="1938" spans="14:32">
      <c r="P1938" s="49">
        <f>P$18</f>
        <v>1</v>
      </c>
      <c r="Q1938" s="53"/>
      <c r="R1938" s="49">
        <f>R$18</f>
        <v>1</v>
      </c>
      <c r="S1938" s="53"/>
      <c r="T1938" s="49">
        <f>T$18</f>
        <v>1</v>
      </c>
      <c r="U1938" s="53"/>
      <c r="V1938" s="49">
        <f>V$18</f>
        <v>1</v>
      </c>
      <c r="W1938" s="53"/>
      <c r="X1938" s="49">
        <f>X$18</f>
        <v>1</v>
      </c>
      <c r="Y1938" s="53"/>
      <c r="Z1938" s="49">
        <f>Z$18</f>
        <v>1</v>
      </c>
      <c r="AA1938" s="53"/>
      <c r="AB1938" s="49">
        <f>AB$18</f>
        <v>1</v>
      </c>
      <c r="AC1938" s="53"/>
      <c r="AD1938" s="49">
        <f>AD$18</f>
        <v>1</v>
      </c>
      <c r="AE1938" s="53"/>
      <c r="AF1938" s="49">
        <f>AF$18</f>
        <v>1</v>
      </c>
    </row>
    <row r="1939" spans="14:32">
      <c r="P1939" s="48">
        <f>P$19</f>
        <v>0</v>
      </c>
      <c r="R1939" s="48">
        <f>R$19</f>
        <v>0</v>
      </c>
      <c r="T1939" s="48">
        <f>T$19</f>
        <v>0</v>
      </c>
      <c r="V1939" s="48">
        <f>V$19</f>
        <v>0</v>
      </c>
      <c r="X1939" s="48">
        <f>X$19</f>
        <v>0</v>
      </c>
      <c r="Z1939" s="48">
        <f>Z$19</f>
        <v>0</v>
      </c>
      <c r="AB1939" s="48">
        <f>AB$19</f>
        <v>0</v>
      </c>
      <c r="AD1939" s="48">
        <f>AD$19</f>
        <v>0</v>
      </c>
      <c r="AF1939" s="48">
        <f>AF$19</f>
        <v>0</v>
      </c>
    </row>
    <row r="1940" spans="14:32">
      <c r="P1940" s="49"/>
      <c r="R1940" s="49"/>
      <c r="T1940" s="49"/>
      <c r="V1940" s="49"/>
      <c r="X1940" s="49"/>
      <c r="Z1940" s="49"/>
      <c r="AB1940" s="49"/>
      <c r="AD1940" s="49"/>
      <c r="AF1940" s="49"/>
    </row>
    <row r="1941" spans="14:32">
      <c r="P1941" s="50"/>
      <c r="R1941" s="50"/>
      <c r="T1941" s="50"/>
      <c r="V1941" s="50"/>
      <c r="X1941" s="50"/>
      <c r="Z1941" s="50"/>
      <c r="AB1941" s="50"/>
      <c r="AD1941" s="50"/>
      <c r="AF1941" s="50"/>
    </row>
    <row r="1942" spans="14:32">
      <c r="P1942" s="51"/>
      <c r="R1942" s="51"/>
      <c r="T1942" s="51"/>
      <c r="V1942" s="51"/>
      <c r="X1942" s="51"/>
      <c r="Z1942" s="51"/>
      <c r="AB1942" s="51"/>
      <c r="AD1942" s="51"/>
      <c r="AF1942" s="51"/>
    </row>
    <row r="1943" spans="14:32">
      <c r="O1943" s="47">
        <f>O$7</f>
        <v>8</v>
      </c>
      <c r="P1943" s="52">
        <f>IF(P1939=0,MAX(P1937-P1938,(Q$13*Q1936+Q$14*Q1950)*EXP(-$B$12*Q$9)),IF(P1937&gt;P1939,P1937-P1938,MAX(P1937-P1938,(Q$13*Q1936+Q$14*Q1950)*EXP(-$B$12*Q$9))))</f>
        <v>0.11895595199128076</v>
      </c>
      <c r="R1943" s="52">
        <f>IF(R1939=0,MAX(R1937-R1938,(S$13*S1936+S$14*S1950)*EXP(-$B$12*S$9)),IF(R1937&gt;R1939,R1937-R1938,MAX(R1937-R1938,(S$13*S1936+S$14*S1950)*EXP(-$B$12*S$9))))</f>
        <v>0.10802578166185713</v>
      </c>
      <c r="T1943" s="52">
        <f>IF(T1939=0,MAX(T1937-T1938,(U$13*U1936+U$14*U1950)*EXP(-$B$12*U$9)),IF(T1937&gt;T1939,T1937-T1938,MAX(T1937-T1938,(U$13*U1936+U$14*U1950)*EXP(-$B$12*U$9))))</f>
        <v>9.6474052970622295E-2</v>
      </c>
      <c r="V1943" s="52">
        <f>IF(V1939=0,MAX(V1937-V1938,(W$13*W1936+W$14*W1950)*EXP(-$B$12*W$9)),IF(V1937&gt;V1939,V1937-V1938,MAX(V1937-V1938,(W$13*W1936+W$14*W1950)*EXP(-$B$12*W$9))))</f>
        <v>8.4172969446404872E-2</v>
      </c>
      <c r="X1943" s="52">
        <f>IF(X1939=0,MAX(X1937-X1938,(Y$13*Y1936+Y$14*Y1950)*EXP(-$B$12*Y$9)),IF(X1937&gt;X1939,X1937-X1938,MAX(X1937-X1938,(Y$13*Y1936+Y$14*Y1950)*EXP(-$B$12*Y$9))))</f>
        <v>7.0940230724927777E-2</v>
      </c>
      <c r="Z1943" s="52">
        <f>IF(Z1939=0,MAX(Z1937-Z1938,(AA$13*AA1936+AA$14*AA1950)*EXP(-$B$12*AA$9)),IF(Z1937&gt;Z1939,Z1937-Z1938,MAX(Z1937-Z1938,(AA$13*AA1936+AA$14*AA1950)*EXP(-$B$12*AA$9))))</f>
        <v>5.6500216920820287E-2</v>
      </c>
      <c r="AB1943" s="52">
        <f>IF(AB1939=0,MAX(AB1937-AB1938,(AC$13*AC1936+AC$14*AC1950)*EXP(-$B$12*AC$9)),IF(AB1937&gt;AB1939,AB1937-AB1938,MAX(AB1937-AB1938,(AC$13*AC1936+AC$14*AC1950)*EXP(-$B$12*AC$9))))</f>
        <v>4.0403154727236455E-2</v>
      </c>
      <c r="AD1943" s="52">
        <f>IF(AD1939=0,MAX(AD1937-AD1938,(AE$13*AE1936+AE$14*AE1950)*EXP(-$B$12*AE$9)),IF(AD1937&gt;AD1939,AD1937-AD1938,MAX(AD1937-AD1938,(AE$13*AE1936+AE$14*AE1950)*EXP(-$B$12*AE$9))))</f>
        <v>2.1849692511311563E-2</v>
      </c>
      <c r="AF1943" s="52">
        <f>IF(AF1939=0,MAX(AF1937-AF1938,(AG$13*AG1936+AG$14*AG1950)*EXP(-$B$12*AG$9)),IF(AF1937&gt;AF1939,AF1937-AF1938,MAX(AF1937-AF1938,(AG$13*AG1936+AG$14*AG1950)*EXP(-$B$12*AG$9))))</f>
        <v>0</v>
      </c>
    </row>
    <row r="1944" spans="14:32">
      <c r="O1944" s="48">
        <f>N1951*O$11</f>
        <v>0.81799927170823361</v>
      </c>
      <c r="P1944" s="51"/>
      <c r="Q1944" s="48">
        <f>P1951*Q$11</f>
        <v>0.81799927170823361</v>
      </c>
      <c r="R1944" s="51"/>
      <c r="S1944" s="48">
        <f>R1951*S$11</f>
        <v>0.81799927170823361</v>
      </c>
      <c r="T1944" s="51"/>
      <c r="U1944" s="48">
        <f>T1951*U$11</f>
        <v>0.81799927170823361</v>
      </c>
      <c r="V1944" s="51"/>
      <c r="W1944" s="48">
        <f>V1951*W$11</f>
        <v>0.81799927170823361</v>
      </c>
      <c r="X1944" s="51"/>
      <c r="Y1944" s="48">
        <f>X1951*Y$11</f>
        <v>0.81799927170823361</v>
      </c>
      <c r="Z1944" s="51"/>
      <c r="AA1944" s="48">
        <f>Z1951*AA$11</f>
        <v>0.81799927170823361</v>
      </c>
      <c r="AB1944" s="51"/>
      <c r="AC1944" s="48">
        <f>AB1951*AC$11</f>
        <v>0.81799927170823361</v>
      </c>
      <c r="AD1944" s="51"/>
      <c r="AE1944" s="48">
        <f>AD1951*AE$11</f>
        <v>0.81799927170823361</v>
      </c>
    </row>
    <row r="1945" spans="14:32">
      <c r="O1945" s="49">
        <f>O$18</f>
        <v>1</v>
      </c>
      <c r="P1945" s="53"/>
      <c r="Q1945" s="49">
        <f>Q$18</f>
        <v>1</v>
      </c>
      <c r="R1945" s="53"/>
      <c r="S1945" s="49">
        <f>S$18</f>
        <v>1</v>
      </c>
      <c r="T1945" s="53"/>
      <c r="U1945" s="49">
        <f>U$18</f>
        <v>1</v>
      </c>
      <c r="V1945" s="53"/>
      <c r="W1945" s="49">
        <f>W$18</f>
        <v>1</v>
      </c>
      <c r="X1945" s="53"/>
      <c r="Y1945" s="49">
        <f>Y$18</f>
        <v>1</v>
      </c>
      <c r="Z1945" s="53"/>
      <c r="AA1945" s="49">
        <f>AA$18</f>
        <v>1</v>
      </c>
      <c r="AB1945" s="53"/>
      <c r="AC1945" s="49">
        <f>AC$18</f>
        <v>1</v>
      </c>
      <c r="AD1945" s="53"/>
      <c r="AE1945" s="49">
        <f>AE$18</f>
        <v>1</v>
      </c>
    </row>
    <row r="1946" spans="14:32">
      <c r="O1946" s="48">
        <f>O$19</f>
        <v>0</v>
      </c>
      <c r="Q1946" s="48">
        <f>Q$19</f>
        <v>0</v>
      </c>
      <c r="S1946" s="48">
        <f>S$19</f>
        <v>0</v>
      </c>
      <c r="U1946" s="48">
        <f>U$19</f>
        <v>0</v>
      </c>
      <c r="W1946" s="48">
        <f>W$19</f>
        <v>0</v>
      </c>
      <c r="Y1946" s="48">
        <f>Y$19</f>
        <v>0</v>
      </c>
      <c r="AA1946" s="48">
        <f>AA$19</f>
        <v>0</v>
      </c>
      <c r="AC1946" s="48">
        <f>AC$19</f>
        <v>0</v>
      </c>
      <c r="AE1946" s="48">
        <f>AE$19</f>
        <v>0</v>
      </c>
    </row>
    <row r="1947" spans="14:32">
      <c r="O1947" s="49"/>
      <c r="Q1947" s="49"/>
      <c r="S1947" s="49"/>
      <c r="U1947" s="49"/>
      <c r="W1947" s="49"/>
      <c r="Y1947" s="49"/>
      <c r="AA1947" s="49"/>
      <c r="AC1947" s="49"/>
      <c r="AE1947" s="49"/>
    </row>
    <row r="1948" spans="14:32">
      <c r="O1948" s="50"/>
      <c r="Q1948" s="50"/>
      <c r="S1948" s="50"/>
      <c r="U1948" s="50"/>
      <c r="W1948" s="50"/>
      <c r="Y1948" s="50"/>
      <c r="AA1948" s="50"/>
      <c r="AC1948" s="50"/>
      <c r="AE1948" s="50"/>
    </row>
    <row r="1949" spans="14:32">
      <c r="O1949" s="51"/>
      <c r="Q1949" s="51"/>
      <c r="S1949" s="51"/>
      <c r="U1949" s="51"/>
      <c r="W1949" s="51"/>
      <c r="Y1949" s="51"/>
      <c r="AA1949" s="51"/>
      <c r="AC1949" s="51"/>
      <c r="AE1949" s="51"/>
    </row>
    <row r="1950" spans="14:32">
      <c r="N1950" s="47">
        <f>N$7</f>
        <v>7</v>
      </c>
      <c r="O1950" s="52">
        <f>IF(O1946=0,MAX(O1944-O1945,(P$13*P1943+P$14*P1957)*EXP(-$B$12*P$9)),IF(O1944&gt;O1946,O1944-O1945,MAX(O1944-O1945,(P$13*P1943+P$14*P1957)*EXP(-$B$12*P$9))))</f>
        <v>8.446244648255137E-2</v>
      </c>
      <c r="Q1950" s="52">
        <f>IF(Q1946=0,MAX(Q1944-Q1945,(R$13*R1943+R$14*R1957)*EXP(-$B$12*R$9)),IF(Q1944&gt;Q1946,Q1944-Q1945,MAX(Q1944-Q1945,(R$13*R1943+R$14*R1957)*EXP(-$B$12*R$9))))</f>
        <v>7.5202690096609293E-2</v>
      </c>
      <c r="S1950" s="52">
        <f>IF(S1946=0,MAX(S1944-S1945,(T$13*T1943+T$14*T1957)*EXP(-$B$12*T$9)),IF(S1944&gt;S1946,S1944-S1945,MAX(S1944-S1945,(T$13*T1943+T$14*T1957)*EXP(-$B$12*T$9))))</f>
        <v>6.5570520939908256E-2</v>
      </c>
      <c r="U1950" s="52">
        <f>IF(U1946=0,MAX(U1944-U1945,(V$13*V1943+V$14*V1957)*EXP(-$B$12*V$9)),IF(U1944&gt;U1946,U1944-U1945,MAX(U1944-U1945,(V$13*V1943+V$14*V1957)*EXP(-$B$12*V$9))))</f>
        <v>5.5524158342424648E-2</v>
      </c>
      <c r="W1950" s="52">
        <f>IF(W1946=0,MAX(W1944-W1945,(X$13*X1943+X$14*X1957)*EXP(-$B$12*X$9)),IF(W1944&gt;W1946,W1944-W1945,MAX(W1944-W1945,(X$13*X1943+X$14*X1957)*EXP(-$B$12*X$9))))</f>
        <v>4.501869712865629E-2</v>
      </c>
      <c r="Y1950" s="52">
        <f>IF(Y1946=0,MAX(Y1944-Y1945,(Z$13*Z1943+Z$14*Z1957)*EXP(-$B$12*Z$9)),IF(Y1944&gt;Y1946,Y1944-Y1945,MAX(Y1944-Y1945,(Z$13*Z1943+Z$14*Z1957)*EXP(-$B$12*Z$9))))</f>
        <v>3.4015618322555424E-2</v>
      </c>
      <c r="AA1950" s="52">
        <f>IF(AA1946=0,MAX(AA1944-AA1945,(AB$13*AB1943+AB$14*AB1957)*EXP(-$B$12*AB$9)),IF(AA1944&gt;AA1946,AA1944-AA1945,MAX(AA1944-AA1945,(AB$13*AB1943+AB$14*AB1957)*EXP(-$B$12*AB$9))))</f>
        <v>2.2519748004270191E-2</v>
      </c>
      <c r="AC1950" s="52">
        <f>IF(AC1946=0,MAX(AC1944-AC1945,(AD$13*AD1943+AD$14*AD1957)*EXP(-$B$12*AD$9)),IF(AC1944&gt;AC1946,AC1944-AC1945,MAX(AC1944-AC1945,(AD$13*AD1943+AD$14*AD1957)*EXP(-$B$12*AD$9))))</f>
        <v>1.0737408799105248E-2</v>
      </c>
      <c r="AE1950" s="52">
        <f>IF(AE1946=0,MAX(AE1944-AE1945,(AF$13*AF1943+AF$14*AF1957)*EXP(-$B$12*AF$9)),IF(AE1944&gt;AE1946,AE1944-AE1945,MAX(AE1944-AE1945,(AF$13*AF1943+AF$14*AF1957)*EXP(-$B$12*AF$9))))</f>
        <v>0</v>
      </c>
    </row>
    <row r="1951" spans="14:32">
      <c r="N1951" s="48">
        <f>M1958*N$11</f>
        <v>0.74324458187456077</v>
      </c>
      <c r="O1951" s="51"/>
      <c r="P1951" s="48">
        <f>O1958*P$11</f>
        <v>0.74324458187456077</v>
      </c>
      <c r="Q1951" s="51"/>
      <c r="R1951" s="48">
        <f>Q1958*R$11</f>
        <v>0.74324458187456077</v>
      </c>
      <c r="S1951" s="51"/>
      <c r="T1951" s="48">
        <f>S1958*T$11</f>
        <v>0.74324458187456077</v>
      </c>
      <c r="U1951" s="51"/>
      <c r="V1951" s="48">
        <f>U1958*V$11</f>
        <v>0.74324458187456077</v>
      </c>
      <c r="W1951" s="51"/>
      <c r="X1951" s="48">
        <f>W1958*X$11</f>
        <v>0.74324458187456077</v>
      </c>
      <c r="Y1951" s="51"/>
      <c r="Z1951" s="48">
        <f>Y1958*Z$11</f>
        <v>0.74324458187456077</v>
      </c>
      <c r="AA1951" s="51"/>
      <c r="AB1951" s="48">
        <f>AA1958*AB$11</f>
        <v>0.74324458187456077</v>
      </c>
      <c r="AC1951" s="51"/>
      <c r="AD1951" s="48">
        <f>AC1958*AD$11</f>
        <v>0.74324458187456077</v>
      </c>
      <c r="AE1951" s="51"/>
      <c r="AF1951" s="48">
        <f>AE1958*AF$11</f>
        <v>0.74324458187456077</v>
      </c>
    </row>
    <row r="1952" spans="14:32">
      <c r="N1952" s="49">
        <f>N$18</f>
        <v>1</v>
      </c>
      <c r="O1952" s="53"/>
      <c r="P1952" s="49">
        <f>P$18</f>
        <v>1</v>
      </c>
      <c r="Q1952" s="53"/>
      <c r="R1952" s="49">
        <f>R$18</f>
        <v>1</v>
      </c>
      <c r="S1952" s="53"/>
      <c r="T1952" s="49">
        <f>T$18</f>
        <v>1</v>
      </c>
      <c r="U1952" s="53"/>
      <c r="V1952" s="49">
        <f>V$18</f>
        <v>1</v>
      </c>
      <c r="W1952" s="53"/>
      <c r="X1952" s="49">
        <f>X$18</f>
        <v>1</v>
      </c>
      <c r="Y1952" s="53"/>
      <c r="Z1952" s="49">
        <f>Z$18</f>
        <v>1</v>
      </c>
      <c r="AA1952" s="53"/>
      <c r="AB1952" s="49">
        <f>AB$18</f>
        <v>1</v>
      </c>
      <c r="AC1952" s="53"/>
      <c r="AD1952" s="49">
        <f>AD$18</f>
        <v>1</v>
      </c>
      <c r="AE1952" s="53"/>
      <c r="AF1952" s="49">
        <f>AF$18</f>
        <v>1</v>
      </c>
    </row>
    <row r="1953" spans="12:32">
      <c r="N1953" s="48">
        <f>N$19</f>
        <v>0</v>
      </c>
      <c r="P1953" s="48">
        <f>P$19</f>
        <v>0</v>
      </c>
      <c r="R1953" s="48">
        <f>R$19</f>
        <v>0</v>
      </c>
      <c r="T1953" s="48">
        <f>T$19</f>
        <v>0</v>
      </c>
      <c r="V1953" s="48">
        <f>V$19</f>
        <v>0</v>
      </c>
      <c r="X1953" s="48">
        <f>X$19</f>
        <v>0</v>
      </c>
      <c r="Z1953" s="48">
        <f>Z$19</f>
        <v>0</v>
      </c>
      <c r="AB1953" s="48">
        <f>AB$19</f>
        <v>0</v>
      </c>
      <c r="AD1953" s="48">
        <f>AD$19</f>
        <v>0</v>
      </c>
      <c r="AF1953" s="48">
        <f>AF$19</f>
        <v>0</v>
      </c>
    </row>
    <row r="1954" spans="12:32">
      <c r="N1954" s="49"/>
      <c r="P1954" s="49"/>
      <c r="R1954" s="49"/>
      <c r="T1954" s="49"/>
      <c r="V1954" s="49"/>
      <c r="X1954" s="49"/>
      <c r="Z1954" s="49"/>
      <c r="AB1954" s="49"/>
      <c r="AD1954" s="49"/>
      <c r="AF1954" s="49"/>
    </row>
    <row r="1955" spans="12:32">
      <c r="N1955" s="50"/>
      <c r="P1955" s="50"/>
      <c r="R1955" s="50"/>
      <c r="T1955" s="50"/>
      <c r="V1955" s="50"/>
      <c r="X1955" s="50"/>
      <c r="Z1955" s="50"/>
      <c r="AB1955" s="50"/>
      <c r="AD1955" s="50"/>
      <c r="AF1955" s="50"/>
    </row>
    <row r="1956" spans="12:32">
      <c r="N1956" s="51"/>
      <c r="P1956" s="51"/>
      <c r="R1956" s="51"/>
      <c r="T1956" s="51"/>
      <c r="V1956" s="51"/>
      <c r="X1956" s="51"/>
      <c r="Z1956" s="51"/>
      <c r="AB1956" s="51"/>
      <c r="AD1956" s="51"/>
      <c r="AF1956" s="51"/>
    </row>
    <row r="1957" spans="12:32">
      <c r="M1957" s="47">
        <f>M$7</f>
        <v>6</v>
      </c>
      <c r="N1957" s="52">
        <f>IF(N1953=0,MAX(N1951-N1952,(O$13*O1950+O$14*O1964)*EXP(-$B$12*O$9)),IF(N1951&gt;N1953,N1951-N1952,MAX(N1951-N1952,(O$13*O1950+O$14*O1964)*EXP(-$B$12*O$9))))</f>
        <v>5.904147274848201E-2</v>
      </c>
      <c r="P1957" s="52">
        <f>IF(P1953=0,MAX(P1951-P1952,(Q$13*Q1950+Q$14*Q1964)*EXP(-$B$12*Q$9)),IF(P1951&gt;P1953,P1951-P1952,MAX(P1951-P1952,(Q$13*Q1950+Q$14*Q1964)*EXP(-$B$12*Q$9))))</f>
        <v>5.1493195985293123E-2</v>
      </c>
      <c r="R1957" s="52">
        <f>IF(R1953=0,MAX(R1951-R1952,(S$13*S1950+S$14*S1964)*EXP(-$B$12*S$9)),IF(R1951&gt;R1953,R1951-R1952,MAX(R1951-R1952,(S$13*S1950+S$14*S1964)*EXP(-$B$12*S$9))))</f>
        <v>4.3793580900448936E-2</v>
      </c>
      <c r="T1957" s="52">
        <f>IF(T1953=0,MAX(T1951-T1952,(U$13*U1950+U$14*U1964)*EXP(-$B$12*U$9)),IF(T1951&gt;T1953,T1951-T1952,MAX(T1951-T1952,(U$13*U1950+U$14*U1964)*EXP(-$B$12*U$9))))</f>
        <v>3.5961365051951265E-2</v>
      </c>
      <c r="V1957" s="52">
        <f>IF(V1953=0,MAX(V1951-V1952,(W$13*W1950+W$14*W1964)*EXP(-$B$12*W$9)),IF(V1951&gt;V1953,V1951-V1952,MAX(V1951-V1952,(W$13*W1950+W$14*W1964)*EXP(-$B$12*W$9))))</f>
        <v>2.8038173314023782E-2</v>
      </c>
      <c r="X1957" s="52">
        <f>IF(X1953=0,MAX(X1951-X1952,(Y$13*Y1950+Y$14*Y1964)*EXP(-$B$12*Y$9)),IF(X1951&gt;X1953,X1951-X1952,MAX(X1951-X1952,(Y$13*Y1950+Y$14*Y1964)*EXP(-$B$12*Y$9))))</f>
        <v>2.01124802415227E-2</v>
      </c>
      <c r="Z1957" s="52">
        <f>IF(Z1953=0,MAX(Z1951-Z1952,(AA$13*AA1950+AA$14*AA1964)*EXP(-$B$12*AA$9)),IF(Z1951&gt;Z1953,Z1951-Z1952,MAX(Z1951-Z1952,(AA$13*AA1950+AA$14*AA1964)*EXP(-$B$12*AA$9))))</f>
        <v>1.2376213205735851E-2</v>
      </c>
      <c r="AB1957" s="52">
        <f>IF(AB1953=0,MAX(AB1951-AB1952,(AC$13*AC1950+AC$14*AC1964)*EXP(-$B$12*AC$9)),IF(AB1951&gt;AB1953,AB1951-AB1952,MAX(AB1951-AB1952,(AC$13*AC1950+AC$14*AC1964)*EXP(-$B$12*AC$9))))</f>
        <v>5.2765936023775285E-3</v>
      </c>
      <c r="AD1957" s="52">
        <f>IF(AD1953=0,MAX(AD1951-AD1952,(AE$13*AE1950+AE$14*AE1964)*EXP(-$B$12*AE$9)),IF(AD1951&gt;AD1953,AD1951-AD1952,MAX(AD1951-AD1952,(AE$13*AE1950+AE$14*AE1964)*EXP(-$B$12*AE$9))))</f>
        <v>0</v>
      </c>
      <c r="AF1957" s="52">
        <f>IF(AF1953=0,MAX(AF1951-AF1952,(AG$13*AG1950+AG$14*AG1964)*EXP(-$B$12*AG$9)),IF(AF1951&gt;AF1953,AF1951-AF1952,MAX(AF1951-AF1952,(AG$13*AG1950+AG$14*AG1964)*EXP(-$B$12*AG$9))))</f>
        <v>0</v>
      </c>
    </row>
    <row r="1958" spans="12:32">
      <c r="M1958" s="48">
        <f>L1965*M$11</f>
        <v>0.67532151627993964</v>
      </c>
      <c r="N1958" s="51"/>
      <c r="O1958" s="48">
        <f>N1965*O$11</f>
        <v>0.67532151627993964</v>
      </c>
      <c r="P1958" s="51"/>
      <c r="Q1958" s="48">
        <f>P1965*Q$11</f>
        <v>0.67532151627993964</v>
      </c>
      <c r="R1958" s="51"/>
      <c r="S1958" s="48">
        <f>R1965*S$11</f>
        <v>0.67532151627993964</v>
      </c>
      <c r="T1958" s="51"/>
      <c r="U1958" s="48">
        <f>T1965*U$11</f>
        <v>0.67532151627993964</v>
      </c>
      <c r="V1958" s="51"/>
      <c r="W1958" s="48">
        <f>V1965*W$11</f>
        <v>0.67532151627993964</v>
      </c>
      <c r="X1958" s="51"/>
      <c r="Y1958" s="48">
        <f>X1965*Y$11</f>
        <v>0.67532151627993964</v>
      </c>
      <c r="Z1958" s="51"/>
      <c r="AA1958" s="48">
        <f>Z1965*AA$11</f>
        <v>0.67532151627993964</v>
      </c>
      <c r="AB1958" s="51"/>
      <c r="AC1958" s="48">
        <f>AB1965*AC$11</f>
        <v>0.67532151627993964</v>
      </c>
      <c r="AD1958" s="51"/>
      <c r="AE1958" s="48">
        <f>AD1965*AE$11</f>
        <v>0.67532151627993964</v>
      </c>
    </row>
    <row r="1959" spans="12:32">
      <c r="M1959" s="49">
        <f>M$18</f>
        <v>1</v>
      </c>
      <c r="N1959" s="53"/>
      <c r="O1959" s="49">
        <f>O$18</f>
        <v>1</v>
      </c>
      <c r="P1959" s="53"/>
      <c r="Q1959" s="49">
        <f>Q$18</f>
        <v>1</v>
      </c>
      <c r="R1959" s="53"/>
      <c r="S1959" s="49">
        <f>S$18</f>
        <v>1</v>
      </c>
      <c r="T1959" s="53"/>
      <c r="U1959" s="49">
        <f>U$18</f>
        <v>1</v>
      </c>
      <c r="V1959" s="53"/>
      <c r="W1959" s="49">
        <f>W$18</f>
        <v>1</v>
      </c>
      <c r="X1959" s="53"/>
      <c r="Y1959" s="49">
        <f>Y$18</f>
        <v>1</v>
      </c>
      <c r="Z1959" s="53"/>
      <c r="AA1959" s="49">
        <f>AA$18</f>
        <v>1</v>
      </c>
      <c r="AB1959" s="53"/>
      <c r="AC1959" s="49">
        <f>AC$18</f>
        <v>1</v>
      </c>
      <c r="AD1959" s="53"/>
      <c r="AE1959" s="49">
        <f>AE$18</f>
        <v>1</v>
      </c>
    </row>
    <row r="1960" spans="12:32">
      <c r="M1960" s="48">
        <f>M$19</f>
        <v>0</v>
      </c>
      <c r="O1960" s="48">
        <f>O$19</f>
        <v>0</v>
      </c>
      <c r="Q1960" s="48">
        <f>Q$19</f>
        <v>0</v>
      </c>
      <c r="S1960" s="48">
        <f>S$19</f>
        <v>0</v>
      </c>
      <c r="U1960" s="48">
        <f>U$19</f>
        <v>0</v>
      </c>
      <c r="W1960" s="48">
        <f>W$19</f>
        <v>0</v>
      </c>
      <c r="Y1960" s="48">
        <f>Y$19</f>
        <v>0</v>
      </c>
      <c r="AA1960" s="48">
        <f>AA$19</f>
        <v>0</v>
      </c>
      <c r="AC1960" s="48">
        <f>AC$19</f>
        <v>0</v>
      </c>
      <c r="AE1960" s="48">
        <f>AE$19</f>
        <v>0</v>
      </c>
    </row>
    <row r="1961" spans="12:32">
      <c r="M1961" s="49"/>
      <c r="O1961" s="49"/>
      <c r="Q1961" s="49"/>
      <c r="S1961" s="49"/>
      <c r="U1961" s="49"/>
      <c r="W1961" s="49"/>
      <c r="Y1961" s="49"/>
      <c r="AA1961" s="49"/>
      <c r="AC1961" s="49"/>
      <c r="AE1961" s="49"/>
    </row>
    <row r="1962" spans="12:32">
      <c r="M1962" s="50"/>
      <c r="O1962" s="50"/>
      <c r="Q1962" s="50"/>
      <c r="S1962" s="50"/>
      <c r="U1962" s="50"/>
      <c r="W1962" s="50"/>
      <c r="Y1962" s="50"/>
      <c r="AA1962" s="50"/>
      <c r="AC1962" s="50"/>
      <c r="AE1962" s="50"/>
    </row>
    <row r="1963" spans="12:32">
      <c r="M1963" s="51"/>
      <c r="O1963" s="51"/>
      <c r="Q1963" s="51"/>
      <c r="S1963" s="51"/>
      <c r="U1963" s="51"/>
      <c r="W1963" s="51"/>
      <c r="Y1963" s="51"/>
      <c r="AA1963" s="51"/>
      <c r="AC1963" s="51"/>
      <c r="AE1963" s="51"/>
    </row>
    <row r="1964" spans="12:32">
      <c r="L1964" s="47">
        <f>L$7</f>
        <v>5</v>
      </c>
      <c r="M1964" s="52">
        <f>IF(M1960=0,MAX(M1958-M1959,(N$13*N1957+N$14*N1971)*EXP(-$B$12*N$9)),IF(M1958&gt;M1960,M1958-M1959,MAX(M1958-M1959,(N$13*N1957+N$14*N1971)*EXP(-$B$12*N$9))))</f>
        <v>4.0670645196694069E-2</v>
      </c>
      <c r="O1964" s="52">
        <f>IF(O1960=0,MAX(O1958-O1959,(P$13*P1957+P$14*P1971)*EXP(-$B$12*P$9)),IF(O1958&gt;O1960,O1958-O1959,MAX(O1958-O1959,(P$13*P1957+P$14*P1971)*EXP(-$B$12*P$9))))</f>
        <v>3.4721235343349047E-2</v>
      </c>
      <c r="Q1964" s="52">
        <f>IF(Q1960=0,MAX(Q1958-Q1959,(R$13*R1957+R$14*R1971)*EXP(-$B$12*R$9)),IF(Q1958&gt;Q1960,Q1958-Q1959,MAX(Q1958-Q1959,(R$13*R1957+R$14*R1971)*EXP(-$B$12*R$9))))</f>
        <v>2.8785130181365328E-2</v>
      </c>
      <c r="S1964" s="52">
        <f>IF(S1960=0,MAX(S1958-S1959,(T$13*T1957+T$14*T1971)*EXP(-$B$12*T$9)),IF(S1958&gt;S1960,S1958-S1959,MAX(S1958-S1959,(T$13*T1957+T$14*T1971)*EXP(-$B$12*T$9))))</f>
        <v>2.2911742373927523E-2</v>
      </c>
      <c r="U1964" s="52">
        <f>IF(U1960=0,MAX(U1958-U1959,(V$13*V1957+V$14*V1971)*EXP(-$B$12*V$9)),IF(U1958&gt;U1960,U1958-U1959,MAX(U1958-U1959,(V$13*V1957+V$14*V1971)*EXP(-$B$12*V$9))))</f>
        <v>1.7178830663347931E-2</v>
      </c>
      <c r="W1964" s="52">
        <f>IF(W1960=0,MAX(W1958-W1959,(X$13*X1957+X$14*X1971)*EXP(-$B$12*X$9)),IF(W1958&gt;W1960,W1958-W1959,MAX(W1958-W1959,(X$13*X1957+X$14*X1971)*EXP(-$B$12*X$9))))</f>
        <v>1.1712514086730847E-2</v>
      </c>
      <c r="Y1964" s="52">
        <f>IF(Y1960=0,MAX(Y1958-Y1959,(Z$13*Z1957+Z$14*Z1971)*EXP(-$B$12*Z$9)),IF(Y1958&gt;Y1960,Y1958-Y1959,MAX(Y1958-Y1959,(Z$13*Z1957+Z$14*Z1971)*EXP(-$B$12*Z$9))))</f>
        <v>6.7254659454442948E-3</v>
      </c>
      <c r="AA1964" s="52">
        <f>IF(AA1960=0,MAX(AA1958-AA1959,(AB$13*AB1957+AB$14*AB1971)*EXP(-$B$12*AB$9)),IF(AA1958&gt;AA1960,AA1958-AA1959,MAX(AA1958-AA1959,(AB$13*AB1957+AB$14*AB1971)*EXP(-$B$12*AB$9))))</f>
        <v>2.5930315745239753E-3</v>
      </c>
      <c r="AC1964" s="52">
        <f>IF(AC1960=0,MAX(AC1958-AC1959,(AD$13*AD1957+AD$14*AD1971)*EXP(-$B$12*AD$9)),IF(AC1958&gt;AC1960,AC1958-AC1959,MAX(AC1958-AC1959,(AD$13*AD1957+AD$14*AD1971)*EXP(-$B$12*AD$9))))</f>
        <v>0</v>
      </c>
      <c r="AE1964" s="52">
        <f>IF(AE1960=0,MAX(AE1958-AE1959,(AF$13*AF1957+AF$14*AF1971)*EXP(-$B$12*AF$9)),IF(AE1958&gt;AE1960,AE1958-AE1959,MAX(AE1958-AE1959,(AF$13*AF1957+AF$14*AF1971)*EXP(-$B$12*AF$9))))</f>
        <v>0</v>
      </c>
    </row>
    <row r="1965" spans="12:32">
      <c r="L1965" s="48">
        <f>K1972*L$11</f>
        <v>0.61360575168996934</v>
      </c>
      <c r="M1965" s="51"/>
      <c r="N1965" s="48">
        <f>M1972*N$11</f>
        <v>0.61360575168996934</v>
      </c>
      <c r="O1965" s="51"/>
      <c r="P1965" s="48">
        <f>O1972*P$11</f>
        <v>0.61360575168996934</v>
      </c>
      <c r="Q1965" s="51"/>
      <c r="R1965" s="48">
        <f>Q1972*R$11</f>
        <v>0.61360575168996934</v>
      </c>
      <c r="S1965" s="51"/>
      <c r="T1965" s="48">
        <f>S1972*T$11</f>
        <v>0.61360575168996934</v>
      </c>
      <c r="U1965" s="51"/>
      <c r="V1965" s="48">
        <f>U1972*V$11</f>
        <v>0.61360575168996934</v>
      </c>
      <c r="W1965" s="51"/>
      <c r="X1965" s="48">
        <f>W1972*X$11</f>
        <v>0.61360575168996934</v>
      </c>
      <c r="Y1965" s="51"/>
      <c r="Z1965" s="48">
        <f>Y1972*Z$11</f>
        <v>0.61360575168996934</v>
      </c>
      <c r="AA1965" s="51"/>
      <c r="AB1965" s="48">
        <f>AA1972*AB$11</f>
        <v>0.61360575168996934</v>
      </c>
      <c r="AC1965" s="51"/>
      <c r="AD1965" s="48">
        <f>AC1972*AD$11</f>
        <v>0.61360575168996934</v>
      </c>
      <c r="AE1965" s="51"/>
      <c r="AF1965" s="48">
        <f>AE1972*AF$11</f>
        <v>0.61360575168996934</v>
      </c>
    </row>
    <row r="1966" spans="12:32">
      <c r="L1966" s="49">
        <f>L$18</f>
        <v>1</v>
      </c>
      <c r="M1966" s="53"/>
      <c r="N1966" s="49">
        <f>N$18</f>
        <v>1</v>
      </c>
      <c r="O1966" s="53"/>
      <c r="P1966" s="49">
        <f>P$18</f>
        <v>1</v>
      </c>
      <c r="Q1966" s="53"/>
      <c r="R1966" s="49">
        <f>R$18</f>
        <v>1</v>
      </c>
      <c r="S1966" s="53"/>
      <c r="T1966" s="49">
        <f>T$18</f>
        <v>1</v>
      </c>
      <c r="U1966" s="53"/>
      <c r="V1966" s="49">
        <f>V$18</f>
        <v>1</v>
      </c>
      <c r="W1966" s="53"/>
      <c r="X1966" s="49">
        <f>X$18</f>
        <v>1</v>
      </c>
      <c r="Y1966" s="53"/>
      <c r="Z1966" s="49">
        <f>Z$18</f>
        <v>1</v>
      </c>
      <c r="AA1966" s="53"/>
      <c r="AB1966" s="49">
        <f>AB$18</f>
        <v>1</v>
      </c>
      <c r="AC1966" s="53"/>
      <c r="AD1966" s="49">
        <f>AD$18</f>
        <v>1</v>
      </c>
      <c r="AE1966" s="53"/>
      <c r="AF1966" s="49">
        <f>AF$18</f>
        <v>1</v>
      </c>
    </row>
    <row r="1967" spans="12:32">
      <c r="L1967" s="48">
        <f>L$19</f>
        <v>0</v>
      </c>
      <c r="N1967" s="48">
        <f>N$19</f>
        <v>0</v>
      </c>
      <c r="P1967" s="48">
        <f>P$19</f>
        <v>0</v>
      </c>
      <c r="R1967" s="48">
        <f>R$19</f>
        <v>0</v>
      </c>
      <c r="T1967" s="48">
        <f>T$19</f>
        <v>0</v>
      </c>
      <c r="V1967" s="48">
        <f>V$19</f>
        <v>0</v>
      </c>
      <c r="X1967" s="48">
        <f>X$19</f>
        <v>0</v>
      </c>
      <c r="Z1967" s="48">
        <f>Z$19</f>
        <v>0</v>
      </c>
      <c r="AB1967" s="48">
        <f>AB$19</f>
        <v>0</v>
      </c>
      <c r="AD1967" s="48">
        <f>AD$19</f>
        <v>0</v>
      </c>
      <c r="AF1967" s="48">
        <f>AF$19</f>
        <v>0</v>
      </c>
    </row>
    <row r="1968" spans="12:32">
      <c r="L1968" s="49"/>
      <c r="N1968" s="49"/>
      <c r="P1968" s="49"/>
      <c r="R1968" s="49"/>
      <c r="T1968" s="49"/>
      <c r="V1968" s="49"/>
      <c r="X1968" s="49"/>
      <c r="Z1968" s="49"/>
      <c r="AB1968" s="49"/>
      <c r="AD1968" s="49"/>
      <c r="AF1968" s="49"/>
    </row>
    <row r="1969" spans="10:32">
      <c r="L1969" s="50"/>
      <c r="N1969" s="50"/>
      <c r="P1969" s="50"/>
      <c r="R1969" s="50"/>
      <c r="T1969" s="50"/>
      <c r="V1969" s="50"/>
      <c r="X1969" s="50"/>
      <c r="Z1969" s="50"/>
      <c r="AB1969" s="50"/>
      <c r="AD1969" s="50"/>
      <c r="AF1969" s="50"/>
    </row>
    <row r="1970" spans="10:32">
      <c r="L1970" s="51"/>
      <c r="N1970" s="51"/>
      <c r="P1970" s="51"/>
      <c r="R1970" s="51"/>
      <c r="T1970" s="51"/>
      <c r="V1970" s="51"/>
      <c r="X1970" s="51"/>
      <c r="Z1970" s="51"/>
      <c r="AB1970" s="51"/>
      <c r="AD1970" s="51"/>
      <c r="AF1970" s="51"/>
    </row>
    <row r="1971" spans="10:32">
      <c r="K1971" s="47">
        <f>K$7</f>
        <v>4</v>
      </c>
      <c r="L1971" s="52">
        <f>IF(L1967=0,MAX(L1965-L1966,(M$13*M1964+M$14*M1978)*EXP(-$B$12*M$9)),IF(L1965&gt;L1967,L1965-L1966,MAX(L1965-L1966,(M$13*M1964+M$14*M1978)*EXP(-$B$12*M$9))))</f>
        <v>2.7633591816358802E-2</v>
      </c>
      <c r="N1971" s="52">
        <f>IF(N1967=0,MAX(N1965-N1966,(O$13*O1964+O$14*O1978)*EXP(-$B$12*O$9)),IF(N1965&gt;N1967,N1965-N1966,MAX(N1965-N1966,(O$13*O1964+O$14*O1978)*EXP(-$B$12*O$9))))</f>
        <v>2.3081200056861359E-2</v>
      </c>
      <c r="P1971" s="52">
        <f>IF(P1967=0,MAX(P1965-P1966,(Q$13*Q1964+Q$14*Q1978)*EXP(-$B$12*Q$9)),IF(P1965&gt;P1967,P1965-P1966,MAX(P1965-P1966,(Q$13*Q1964+Q$14*Q1978)*EXP(-$B$12*Q$9))))</f>
        <v>1.8645656637320231E-2</v>
      </c>
      <c r="R1971" s="52">
        <f>IF(R1967=0,MAX(R1965-R1966,(S$13*S1964+S$14*S1978)*EXP(-$B$12*S$9)),IF(R1965&gt;R1967,R1965-R1966,MAX(R1965-R1966,(S$13*S1964+S$14*S1978)*EXP(-$B$12*S$9))))</f>
        <v>1.4383722457374017E-2</v>
      </c>
      <c r="T1971" s="52">
        <f>IF(T1967=0,MAX(T1965-T1966,(U$13*U1964+U$14*U1978)*EXP(-$B$12*U$9)),IF(T1965&gt;T1967,T1965-T1966,MAX(T1965-T1966,(U$13*U1964+U$14*U1978)*EXP(-$B$12*U$9))))</f>
        <v>1.0375007972527247E-2</v>
      </c>
      <c r="V1971" s="52">
        <f>IF(V1967=0,MAX(V1965-V1966,(W$13*W1964+W$14*W1978)*EXP(-$B$12*W$9)),IF(V1965&gt;V1967,V1965-V1966,MAX(V1965-V1966,(W$13*W1964+W$14*W1978)*EXP(-$B$12*W$9))))</f>
        <v>6.7329814364031158E-3</v>
      </c>
      <c r="X1971" s="52">
        <f>IF(X1967=0,MAX(X1965-X1966,(Y$13*Y1964+Y$14*Y1978)*EXP(-$B$12*Y$9)),IF(X1965&gt;X1967,X1965-X1966,MAX(X1965-X1966,(Y$13*Y1964+Y$14*Y1978)*EXP(-$B$12*Y$9))))</f>
        <v>3.6212824037401945E-3</v>
      </c>
      <c r="Z1971" s="52">
        <f>IF(Z1967=0,MAX(Z1965-Z1966,(AA$13*AA1964+AA$14*AA1978)*EXP(-$B$12*AA$9)),IF(Z1965&gt;Z1967,Z1965-Z1966,MAX(Z1965-Z1966,(AA$13*AA1964+AA$14*AA1978)*EXP(-$B$12*AA$9))))</f>
        <v>1.2742714814058581E-3</v>
      </c>
      <c r="AB1971" s="52">
        <f>IF(AB1967=0,MAX(AB1965-AB1966,(AC$13*AC1964+AC$14*AC1978)*EXP(-$B$12*AC$9)),IF(AB1965&gt;AB1967,AB1965-AB1966,MAX(AB1965-AB1966,(AC$13*AC1964+AC$14*AC1978)*EXP(-$B$12*AC$9))))</f>
        <v>0</v>
      </c>
      <c r="AD1971" s="52">
        <f>IF(AD1967=0,MAX(AD1965-AD1966,(AE$13*AE1964+AE$14*AE1978)*EXP(-$B$12*AE$9)),IF(AD1965&gt;AD1967,AD1965-AD1966,MAX(AD1965-AD1966,(AE$13*AE1964+AE$14*AE1978)*EXP(-$B$12*AE$9))))</f>
        <v>0</v>
      </c>
      <c r="AF1971" s="52">
        <f>IF(AF1967=0,MAX(AF1965-AF1966,(AG$13*AG1964+AG$14*AG1978)*EXP(-$B$12*AG$9)),IF(AF1965&gt;AF1967,AF1965-AF1966,MAX(AF1965-AF1966,(AG$13*AG1964+AG$14*AG1978)*EXP(-$B$12*AG$9))))</f>
        <v>0</v>
      </c>
    </row>
    <row r="1972" spans="10:32">
      <c r="K1972" s="48">
        <f>J1979*K$11</f>
        <v>0.5575300200429828</v>
      </c>
      <c r="L1972" s="51"/>
      <c r="M1972" s="48">
        <f>L1979*M$11</f>
        <v>0.5575300200429828</v>
      </c>
      <c r="N1972" s="51"/>
      <c r="O1972" s="48">
        <f>N1979*O$11</f>
        <v>0.5575300200429828</v>
      </c>
      <c r="P1972" s="51"/>
      <c r="Q1972" s="48">
        <f>P1979*Q$11</f>
        <v>0.5575300200429828</v>
      </c>
      <c r="R1972" s="51"/>
      <c r="S1972" s="48">
        <f>R1979*S$11</f>
        <v>0.5575300200429828</v>
      </c>
      <c r="T1972" s="51"/>
      <c r="U1972" s="48">
        <f>T1979*U$11</f>
        <v>0.5575300200429828</v>
      </c>
      <c r="V1972" s="51"/>
      <c r="W1972" s="48">
        <f>V1979*W$11</f>
        <v>0.5575300200429828</v>
      </c>
      <c r="X1972" s="51"/>
      <c r="Y1972" s="48">
        <f>X1979*Y$11</f>
        <v>0.5575300200429828</v>
      </c>
      <c r="Z1972" s="51"/>
      <c r="AA1972" s="48">
        <f>Z1979*AA$11</f>
        <v>0.5575300200429828</v>
      </c>
      <c r="AB1972" s="51"/>
      <c r="AC1972" s="48">
        <f>AB1979*AC$11</f>
        <v>0.5575300200429828</v>
      </c>
      <c r="AD1972" s="51"/>
      <c r="AE1972" s="48">
        <f>AD1979*AE$11</f>
        <v>0.5575300200429828</v>
      </c>
    </row>
    <row r="1973" spans="10:32">
      <c r="K1973" s="49">
        <f>K$18</f>
        <v>1</v>
      </c>
      <c r="M1973" s="49">
        <f>M$18</f>
        <v>1</v>
      </c>
      <c r="O1973" s="49">
        <f>O$18</f>
        <v>1</v>
      </c>
      <c r="Q1973" s="49">
        <f>Q$18</f>
        <v>1</v>
      </c>
      <c r="S1973" s="49">
        <f>S$18</f>
        <v>1</v>
      </c>
      <c r="U1973" s="49">
        <f>U$18</f>
        <v>1</v>
      </c>
      <c r="W1973" s="49">
        <f>W$18</f>
        <v>1</v>
      </c>
      <c r="Y1973" s="49">
        <f>Y$18</f>
        <v>1</v>
      </c>
      <c r="AA1973" s="49">
        <f>AA$18</f>
        <v>1</v>
      </c>
      <c r="AC1973" s="49">
        <f>AC$18</f>
        <v>1</v>
      </c>
      <c r="AE1973" s="49">
        <f>AE$18</f>
        <v>1</v>
      </c>
    </row>
    <row r="1974" spans="10:32">
      <c r="K1974" s="48">
        <f>K$19</f>
        <v>0</v>
      </c>
      <c r="M1974" s="48">
        <f>M$19</f>
        <v>0</v>
      </c>
      <c r="O1974" s="48">
        <f>O$19</f>
        <v>0</v>
      </c>
      <c r="Q1974" s="48">
        <f>Q$19</f>
        <v>0</v>
      </c>
      <c r="S1974" s="48">
        <f>S$19</f>
        <v>0</v>
      </c>
      <c r="U1974" s="48">
        <f>U$19</f>
        <v>0</v>
      </c>
      <c r="W1974" s="48">
        <f>W$19</f>
        <v>0</v>
      </c>
      <c r="Y1974" s="48">
        <f>Y$19</f>
        <v>0</v>
      </c>
      <c r="AA1974" s="48">
        <f>AA$19</f>
        <v>0</v>
      </c>
      <c r="AC1974" s="48">
        <f>AC$19</f>
        <v>0</v>
      </c>
      <c r="AE1974" s="48">
        <f>AE$19</f>
        <v>0</v>
      </c>
    </row>
    <row r="1975" spans="10:32">
      <c r="K1975" s="49"/>
      <c r="M1975" s="49"/>
      <c r="O1975" s="49"/>
      <c r="Q1975" s="49"/>
      <c r="S1975" s="49"/>
      <c r="U1975" s="49"/>
      <c r="W1975" s="49"/>
      <c r="Y1975" s="49"/>
      <c r="AA1975" s="49"/>
      <c r="AC1975" s="49"/>
      <c r="AE1975" s="49"/>
    </row>
    <row r="1976" spans="10:32">
      <c r="K1976" s="50"/>
      <c r="M1976" s="50"/>
      <c r="O1976" s="50"/>
      <c r="Q1976" s="50"/>
      <c r="S1976" s="50"/>
      <c r="U1976" s="50"/>
      <c r="W1976" s="50"/>
      <c r="Y1976" s="50"/>
      <c r="AA1976" s="50"/>
      <c r="AC1976" s="50"/>
      <c r="AE1976" s="50"/>
    </row>
    <row r="1977" spans="10:32">
      <c r="K1977" s="51"/>
      <c r="M1977" s="51"/>
      <c r="O1977" s="51"/>
      <c r="Q1977" s="51"/>
      <c r="S1977" s="51"/>
      <c r="U1977" s="51"/>
      <c r="W1977" s="51"/>
      <c r="Y1977" s="51"/>
      <c r="AA1977" s="51"/>
      <c r="AC1977" s="51"/>
      <c r="AE1977" s="51"/>
    </row>
    <row r="1978" spans="10:32">
      <c r="J1978" s="47">
        <f>J$7</f>
        <v>3</v>
      </c>
      <c r="K1978" s="52">
        <f>IF(K1974=0,MAX(K1972-K1973,(L$13*L1971+L$14*L1985)*EXP(-$B$12*L$9)),IF(K1972&gt;K1974,K1972-K1973,MAX(K1972-K1973,(L$13*L1971+L$14*L1985)*EXP(-$B$12*L$9))))</f>
        <v>1.8535708382914042E-2</v>
      </c>
      <c r="M1978" s="52">
        <f>IF(M1974=0,MAX(M1972-M1973,(N$13*N1971+N$14*N1985)*EXP(-$B$12*N$9)),IF(M1972&gt;M1974,M1972-M1973,MAX(M1972-M1973,(N$13*N1971+N$14*N1985)*EXP(-$B$12*N$9))))</f>
        <v>1.5142388975991471E-2</v>
      </c>
      <c r="O1978" s="52">
        <f>IF(O1974=0,MAX(O1972-O1973,(P$13*P1971+P$14*P1985)*EXP(-$B$12*P$9)),IF(O1972&gt;O1974,O1972-O1973,MAX(O1972-O1973,(P$13*P1971+P$14*P1985)*EXP(-$B$12*P$9))))</f>
        <v>1.1917301142998084E-2</v>
      </c>
      <c r="Q1978" s="52">
        <f>IF(Q1974=0,MAX(Q1972-Q1973,(R$13*R1971+R$14*R1985)*EXP(-$B$12*R$9)),IF(Q1972&gt;Q1974,Q1972-Q1973,MAX(Q1972-Q1973,(R$13*R1971+R$14*R1985)*EXP(-$B$12*R$9))))</f>
        <v>8.9106419049197645E-3</v>
      </c>
      <c r="S1978" s="52">
        <f>IF(S1974=0,MAX(S1972-S1973,(T$13*T1971+T$14*T1985)*EXP(-$B$12*T$9)),IF(S1972&gt;S1974,S1972-S1973,MAX(S1972-S1973,(T$13*T1971+T$14*T1985)*EXP(-$B$12*T$9))))</f>
        <v>6.1867228823743693E-3</v>
      </c>
      <c r="U1978" s="52">
        <f>IF(U1974=0,MAX(U1972-U1973,(V$13*V1971+V$14*V1985)*EXP(-$B$12*V$9)),IF(U1972&gt;U1974,U1972-U1973,MAX(U1972-U1973,(V$13*V1971+V$14*V1985)*EXP(-$B$12*V$9))))</f>
        <v>3.8275178440109418E-3</v>
      </c>
      <c r="W1978" s="52">
        <f>IF(W1974=0,MAX(W1972-W1973,(X$13*X1971+X$14*X1985)*EXP(-$B$12*X$9)),IF(W1972&gt;W1974,W1972-W1973,MAX(W1972-W1973,(X$13*X1971+X$14*X1985)*EXP(-$B$12*X$9))))</f>
        <v>1.9349850570804564E-3</v>
      </c>
      <c r="Y1978" s="52">
        <f>IF(Y1974=0,MAX(Y1972-Y1973,(Z$13*Z1971+Z$14*Z1985)*EXP(-$B$12*Z$9)),IF(Y1972&gt;Y1974,Y1972-Y1973,MAX(Y1972-Y1973,(Z$13*Z1971+Z$14*Z1985)*EXP(-$B$12*Z$9))))</f>
        <v>6.262044104196335E-4</v>
      </c>
      <c r="AA1978" s="52">
        <f>IF(AA1974=0,MAX(AA1972-AA1973,(AB$13*AB1971+AB$14*AB1985)*EXP(-$B$12*AB$9)),IF(AA1972&gt;AA1974,AA1972-AA1973,MAX(AA1972-AA1973,(AB$13*AB1971+AB$14*AB1985)*EXP(-$B$12*AB$9))))</f>
        <v>0</v>
      </c>
      <c r="AC1978" s="52">
        <f>IF(AC1974=0,MAX(AC1972-AC1973,(AD$13*AD1971+AD$14*AD1985)*EXP(-$B$12*AD$9)),IF(AC1972&gt;AC1974,AC1972-AC1973,MAX(AC1972-AC1973,(AD$13*AD1971+AD$14*AD1985)*EXP(-$B$12*AD$9))))</f>
        <v>0</v>
      </c>
      <c r="AE1978" s="52">
        <f>IF(AE1974=0,MAX(AE1972-AE1973,(AF$13*AF1971+AF$14*AF1985)*EXP(-$B$12*AF$9)),IF(AE1972&gt;AE1974,AE1972-AE1973,MAX(AE1972-AE1973,(AF$13*AF1971+AF$14*AF1985)*EXP(-$B$12*AF$9))))</f>
        <v>0</v>
      </c>
    </row>
    <row r="1979" spans="10:32">
      <c r="J1979" s="48">
        <f>I1986*J$11</f>
        <v>0.50657889433569681</v>
      </c>
      <c r="L1979" s="48">
        <f>K1986*L$11</f>
        <v>0.50657889433569681</v>
      </c>
      <c r="N1979" s="48">
        <f>M1986*N$11</f>
        <v>0.50657889433569681</v>
      </c>
      <c r="P1979" s="48">
        <f>O1986*P$11</f>
        <v>0.50657889433569681</v>
      </c>
      <c r="R1979" s="48">
        <f>Q1986*R$11</f>
        <v>0.50657889433569681</v>
      </c>
      <c r="T1979" s="48">
        <f>S1986*T$11</f>
        <v>0.50657889433569681</v>
      </c>
      <c r="V1979" s="48">
        <f>U1986*V$11</f>
        <v>0.50657889433569681</v>
      </c>
      <c r="X1979" s="48">
        <f>W1986*X$11</f>
        <v>0.50657889433569681</v>
      </c>
      <c r="Z1979" s="48">
        <f>Y1986*Z$11</f>
        <v>0.50657889433569681</v>
      </c>
      <c r="AB1979" s="48">
        <f>AA1986*AB$11</f>
        <v>0.50657889433569681</v>
      </c>
      <c r="AD1979" s="48">
        <f>AC1986*AD$11</f>
        <v>0.50657889433569681</v>
      </c>
      <c r="AF1979" s="48">
        <f>AE1986*AF$11</f>
        <v>0.50657889433569681</v>
      </c>
    </row>
    <row r="1980" spans="10:32">
      <c r="J1980" s="49">
        <f>J$18</f>
        <v>1</v>
      </c>
      <c r="L1980" s="49">
        <f>L$18</f>
        <v>1</v>
      </c>
      <c r="N1980" s="49">
        <f>N$18</f>
        <v>1</v>
      </c>
      <c r="P1980" s="49">
        <f>P$18</f>
        <v>1</v>
      </c>
      <c r="R1980" s="49">
        <f>R$18</f>
        <v>1</v>
      </c>
      <c r="T1980" s="49">
        <f>T$18</f>
        <v>1</v>
      </c>
      <c r="V1980" s="49">
        <f>V$18</f>
        <v>1</v>
      </c>
      <c r="X1980" s="49">
        <f>X$18</f>
        <v>1</v>
      </c>
      <c r="Z1980" s="49">
        <f>Z$18</f>
        <v>1</v>
      </c>
      <c r="AB1980" s="49">
        <f>AB$18</f>
        <v>1</v>
      </c>
      <c r="AD1980" s="49">
        <f>AD$18</f>
        <v>1</v>
      </c>
      <c r="AF1980" s="49">
        <f>AF$18</f>
        <v>1</v>
      </c>
    </row>
    <row r="1981" spans="10:32">
      <c r="J1981" s="48">
        <f>J$19</f>
        <v>0</v>
      </c>
      <c r="L1981" s="48">
        <f>L$19</f>
        <v>0</v>
      </c>
      <c r="N1981" s="48">
        <f>N$19</f>
        <v>0</v>
      </c>
      <c r="P1981" s="48">
        <f>P$19</f>
        <v>0</v>
      </c>
      <c r="R1981" s="48">
        <f>R$19</f>
        <v>0</v>
      </c>
      <c r="T1981" s="48">
        <f>T$19</f>
        <v>0</v>
      </c>
      <c r="V1981" s="48">
        <f>V$19</f>
        <v>0</v>
      </c>
      <c r="X1981" s="48">
        <f>X$19</f>
        <v>0</v>
      </c>
      <c r="Z1981" s="48">
        <f>Z$19</f>
        <v>0</v>
      </c>
      <c r="AB1981" s="48">
        <f>AB$19</f>
        <v>0</v>
      </c>
      <c r="AD1981" s="48">
        <f>AD$19</f>
        <v>0</v>
      </c>
      <c r="AF1981" s="48">
        <f>AF$19</f>
        <v>0</v>
      </c>
    </row>
    <row r="1982" spans="10:32">
      <c r="J1982" s="49"/>
      <c r="L1982" s="49"/>
      <c r="N1982" s="49"/>
      <c r="P1982" s="49"/>
      <c r="R1982" s="49"/>
      <c r="T1982" s="49"/>
      <c r="V1982" s="49"/>
      <c r="X1982" s="49"/>
      <c r="Z1982" s="49"/>
      <c r="AB1982" s="49"/>
      <c r="AD1982" s="49"/>
      <c r="AF1982" s="49"/>
    </row>
    <row r="1983" spans="10:32">
      <c r="J1983" s="50"/>
      <c r="L1983" s="50"/>
      <c r="N1983" s="50"/>
      <c r="P1983" s="50"/>
      <c r="R1983" s="50"/>
      <c r="T1983" s="50"/>
      <c r="V1983" s="50"/>
      <c r="X1983" s="50"/>
      <c r="Z1983" s="50"/>
      <c r="AB1983" s="50"/>
      <c r="AD1983" s="50"/>
      <c r="AF1983" s="50"/>
    </row>
    <row r="1984" spans="10:32">
      <c r="J1984" s="51"/>
      <c r="L1984" s="51"/>
      <c r="N1984" s="51"/>
      <c r="P1984" s="51"/>
      <c r="R1984" s="51"/>
      <c r="T1984" s="51"/>
      <c r="V1984" s="51"/>
      <c r="X1984" s="51"/>
      <c r="Z1984" s="51"/>
      <c r="AB1984" s="51"/>
      <c r="AD1984" s="51"/>
      <c r="AF1984" s="51"/>
    </row>
    <row r="1985" spans="6:32">
      <c r="I1985" s="47">
        <f>I$7</f>
        <v>2</v>
      </c>
      <c r="J1985" s="52">
        <f>IF(J1981=0,MAX(J1979-J1980,(K$13*K1978+K$14*K1992)*EXP(-$B$12*K$9)),IF(J1979&gt;J1981,J1979-J1980,MAX(J1979-J1980,(K$13*K1978+K$14*K1992)*EXP(-$B$12*K$9))))</f>
        <v>1.2284497905271884E-2</v>
      </c>
      <c r="L1985" s="52">
        <f>IF(L1981=0,MAX(L1979-L1980,(M$13*M1978+M$14*M1992)*EXP(-$B$12*M$9)),IF(L1979&gt;L1981,L1979-L1980,MAX(L1979-L1980,(M$13*M1978+M$14*M1992)*EXP(-$B$12*M$9))))</f>
        <v>9.8134680818409963E-3</v>
      </c>
      <c r="N1985" s="52">
        <f>IF(N1981=0,MAX(N1979-N1980,(O$13*O1978+O$14*O1992)*EXP(-$B$12*O$9)),IF(N1979&gt;N1981,N1979-N1980,MAX(N1979-N1980,(O$13*O1978+O$14*O1992)*EXP(-$B$12*O$9))))</f>
        <v>7.5240868192879189E-3</v>
      </c>
      <c r="P1985" s="52">
        <f>IF(P1981=0,MAX(P1979-P1980,(Q$13*Q1978+Q$14*Q1992)*EXP(-$B$12*Q$9)),IF(P1979&gt;P1981,P1979-P1980,MAX(P1979-P1980,(Q$13*Q1978+Q$14*Q1992)*EXP(-$B$12*Q$9))))</f>
        <v>5.454123540838636E-3</v>
      </c>
      <c r="R1985" s="52">
        <f>IF(R1981=0,MAX(R1979-R1980,(S$13*S1978+S$14*S1992)*EXP(-$B$12*S$9)),IF(R1979&gt;R1981,R1979-R1980,MAX(R1979-R1980,(S$13*S1978+S$14*S1992)*EXP(-$B$12*S$9))))</f>
        <v>3.6477421049482036E-3</v>
      </c>
      <c r="T1985" s="52">
        <f>IF(T1981=0,MAX(T1979-T1980,(U$13*U1978+U$14*U1992)*EXP(-$B$12*U$9)),IF(T1979&gt;T1981,T1979-T1980,MAX(T1979-T1980,(U$13*U1978+U$14*U1992)*EXP(-$B$12*U$9))))</f>
        <v>2.1548207066926822E-3</v>
      </c>
      <c r="V1985" s="52">
        <f>IF(V1981=0,MAX(V1979-V1980,(W$13*W1978+W$14*W1992)*EXP(-$B$12*W$9)),IF(V1979&gt;V1981,V1979-V1980,MAX(V1979-V1980,(W$13*W1978+W$14*W1992)*EXP(-$B$12*W$9))))</f>
        <v>1.0272645979099214E-3</v>
      </c>
      <c r="X1985" s="52">
        <f>IF(X1981=0,MAX(X1979-X1980,(Y$13*Y1978+Y$14*Y1992)*EXP(-$B$12*Y$9)),IF(X1979&gt;X1981,X1979-X1980,MAX(X1979-X1980,(Y$13*Y1978+Y$14*Y1992)*EXP(-$B$12*Y$9))))</f>
        <v>3.0773031441963663E-4</v>
      </c>
      <c r="Z1985" s="52">
        <f>IF(Z1981=0,MAX(Z1979-Z1980,(AA$13*AA1978+AA$14*AA1992)*EXP(-$B$12*AA$9)),IF(Z1979&gt;Z1981,Z1979-Z1980,MAX(Z1979-Z1980,(AA$13*AA1978+AA$14*AA1992)*EXP(-$B$12*AA$9))))</f>
        <v>0</v>
      </c>
      <c r="AB1985" s="52">
        <f>IF(AB1981=0,MAX(AB1979-AB1980,(AC$13*AC1978+AC$14*AC1992)*EXP(-$B$12*AC$9)),IF(AB1979&gt;AB1981,AB1979-AB1980,MAX(AB1979-AB1980,(AC$13*AC1978+AC$14*AC1992)*EXP(-$B$12*AC$9))))</f>
        <v>0</v>
      </c>
      <c r="AD1985" s="52">
        <f>IF(AD1981=0,MAX(AD1979-AD1980,(AE$13*AE1978+AE$14*AE1992)*EXP(-$B$12*AE$9)),IF(AD1979&gt;AD1981,AD1979-AD1980,MAX(AD1979-AD1980,(AE$13*AE1978+AE$14*AE1992)*EXP(-$B$12*AE$9))))</f>
        <v>0</v>
      </c>
      <c r="AF1985" s="52">
        <f>IF(AF1981=0,MAX(AF1979-AF1980,(AG$13*AG1978+AG$14*AG1992)*EXP(-$B$12*AG$9)),IF(AF1979&gt;AF1981,AF1979-AF1980,MAX(AF1979-AF1980,(AG$13*AG1978+AG$14*AG1992)*EXP(-$B$12*AG$9))))</f>
        <v>0</v>
      </c>
    </row>
    <row r="1986" spans="6:32">
      <c r="I1986" s="48">
        <f>H1993*I$11</f>
        <v>0.46028405101234332</v>
      </c>
      <c r="K1986" s="48">
        <f>J1993*K$11</f>
        <v>0.46028405101234332</v>
      </c>
      <c r="M1986" s="48">
        <f>L1993*M$11</f>
        <v>0.46028405101234332</v>
      </c>
      <c r="O1986" s="48">
        <f>N1993*O$11</f>
        <v>0.46028405101234332</v>
      </c>
      <c r="Q1986" s="48">
        <f>P1993*Q$11</f>
        <v>0.46028405101234332</v>
      </c>
      <c r="S1986" s="48">
        <f>R1993*S$11</f>
        <v>0.46028405101234332</v>
      </c>
      <c r="U1986" s="48">
        <f>T1993*U$11</f>
        <v>0.46028405101234332</v>
      </c>
      <c r="W1986" s="48">
        <f>V1993*W$11</f>
        <v>0.46028405101234332</v>
      </c>
      <c r="Y1986" s="48">
        <f>X1993*Y$11</f>
        <v>0.46028405101234332</v>
      </c>
      <c r="AA1986" s="48">
        <f>Z1993*AA$11</f>
        <v>0.46028405101234332</v>
      </c>
      <c r="AC1986" s="48">
        <f>AB1993*AC$11</f>
        <v>0.46028405101234332</v>
      </c>
      <c r="AE1986" s="48">
        <f>AD1993*AE$11</f>
        <v>0.46028405101234332</v>
      </c>
    </row>
    <row r="1987" spans="6:32">
      <c r="I1987" s="49">
        <f>I$18</f>
        <v>1</v>
      </c>
      <c r="K1987" s="49">
        <f>K$18</f>
        <v>1</v>
      </c>
      <c r="M1987" s="49">
        <f>M$18</f>
        <v>1</v>
      </c>
      <c r="O1987" s="49">
        <f>O$18</f>
        <v>1</v>
      </c>
      <c r="Q1987" s="49">
        <f>Q$18</f>
        <v>1</v>
      </c>
      <c r="S1987" s="49">
        <f>S$18</f>
        <v>1</v>
      </c>
      <c r="U1987" s="49">
        <f>U$18</f>
        <v>1</v>
      </c>
      <c r="W1987" s="49">
        <f>W$18</f>
        <v>1</v>
      </c>
      <c r="Y1987" s="49">
        <f>Y$18</f>
        <v>1</v>
      </c>
      <c r="AA1987" s="49">
        <f>AA$18</f>
        <v>1</v>
      </c>
      <c r="AC1987" s="49">
        <f>AC$18</f>
        <v>1</v>
      </c>
      <c r="AE1987" s="49">
        <f>AE$18</f>
        <v>1</v>
      </c>
    </row>
    <row r="1988" spans="6:32">
      <c r="I1988" s="48">
        <f>I$19</f>
        <v>0</v>
      </c>
      <c r="K1988" s="48">
        <f>K$19</f>
        <v>0</v>
      </c>
      <c r="M1988" s="48">
        <f>M$19</f>
        <v>0</v>
      </c>
      <c r="O1988" s="48">
        <f>O$19</f>
        <v>0</v>
      </c>
      <c r="Q1988" s="48">
        <f>Q$19</f>
        <v>0</v>
      </c>
      <c r="S1988" s="48">
        <f>S$19</f>
        <v>0</v>
      </c>
      <c r="U1988" s="48">
        <f>U$19</f>
        <v>0</v>
      </c>
      <c r="W1988" s="48">
        <f>W$19</f>
        <v>0</v>
      </c>
      <c r="Y1988" s="48">
        <f>Y$19</f>
        <v>0</v>
      </c>
      <c r="AA1988" s="48">
        <f>AA$19</f>
        <v>0</v>
      </c>
      <c r="AC1988" s="48">
        <f>AC$19</f>
        <v>0</v>
      </c>
      <c r="AE1988" s="48">
        <f>AE$19</f>
        <v>0</v>
      </c>
    </row>
    <row r="1989" spans="6:32">
      <c r="I1989" s="49"/>
      <c r="K1989" s="49"/>
      <c r="M1989" s="49"/>
      <c r="O1989" s="49"/>
      <c r="Q1989" s="49"/>
      <c r="S1989" s="49"/>
      <c r="U1989" s="49"/>
      <c r="W1989" s="49"/>
      <c r="Y1989" s="49"/>
      <c r="AA1989" s="49"/>
      <c r="AC1989" s="49"/>
      <c r="AE1989" s="49"/>
    </row>
    <row r="1990" spans="6:32">
      <c r="I1990" s="50"/>
      <c r="K1990" s="50"/>
      <c r="M1990" s="50"/>
      <c r="O1990" s="50"/>
      <c r="Q1990" s="50"/>
      <c r="S1990" s="50"/>
      <c r="U1990" s="50"/>
      <c r="W1990" s="50"/>
      <c r="Y1990" s="50"/>
      <c r="AA1990" s="50"/>
      <c r="AC1990" s="50"/>
      <c r="AE1990" s="50"/>
    </row>
    <row r="1991" spans="6:32">
      <c r="I1991" s="51"/>
      <c r="K1991" s="51"/>
      <c r="M1991" s="51"/>
      <c r="O1991" s="51"/>
      <c r="Q1991" s="51"/>
      <c r="S1991" s="51"/>
      <c r="U1991" s="51"/>
      <c r="W1991" s="51"/>
      <c r="Y1991" s="51"/>
      <c r="AA1991" s="51"/>
      <c r="AC1991" s="51"/>
      <c r="AE1991" s="51"/>
    </row>
    <row r="1992" spans="6:32">
      <c r="H1992" s="47">
        <f>H$7</f>
        <v>1</v>
      </c>
      <c r="I1992" s="52">
        <f>IF(I1988=0,MAX(I1986-I1987,(J$13*J1985+J$14*J1999)*EXP(-$B$12*J$9)),IF(I1986&gt;I1988,I1986-I1987,MAX(I1986-I1987,(J$13*J1985+J$14*J1999)*EXP(-$B$12*J$9))))</f>
        <v>8.0504277390270555E-3</v>
      </c>
      <c r="J1992" s="47"/>
      <c r="K1992" s="52">
        <f>IF(K1988=0,MAX(K1986-K1987,(L$13*L1985+L$14*L1999)*EXP(-$B$12*L$9)),IF(K1986&gt;K1988,K1986-K1987,MAX(K1986-K1987,(L$13*L1985+L$14*L1999)*EXP(-$B$12*L$9))))</f>
        <v>6.2882099089534363E-3</v>
      </c>
      <c r="M1992" s="52">
        <f>IF(M1988=0,MAX(M1986-M1987,(N$13*N1985+N$14*N1999)*EXP(-$B$12*N$9)),IF(M1986&gt;M1988,M1986-M1987,MAX(M1986-M1987,(N$13*N1985+N$14*N1999)*EXP(-$B$12*N$9))))</f>
        <v>4.6972142118552676E-3</v>
      </c>
      <c r="O1992" s="52">
        <f>IF(O1988=0,MAX(O1986-O1987,(P$13*P1985+P$14*P1999)*EXP(-$B$12*P$9)),IF(O1986&gt;O1988,O1986-O1987,MAX(O1986-O1987,(P$13*P1985+P$14*P1999)*EXP(-$B$12*P$9))))</f>
        <v>3.3022039372268101E-3</v>
      </c>
      <c r="Q1992" s="52">
        <f>IF(Q1988=0,MAX(Q1986-Q1987,(R$13*R1985+R$14*R1999)*EXP(-$B$12*R$9)),IF(Q1986&gt;Q1988,Q1986-Q1987,MAX(Q1986-Q1987,(R$13*R1985+R$14*R1999)*EXP(-$B$12*R$9))))</f>
        <v>2.1291218366460145E-3</v>
      </c>
      <c r="S1992" s="52">
        <f>IF(S1988=0,MAX(S1986-S1987,(T$13*T1985+T$14*T1999)*EXP(-$B$12*T$9)),IF(S1986&gt;S1988,S1986-S1987,MAX(S1986-S1987,(T$13*T1985+T$14*T1999)*EXP(-$B$12*T$9))))</f>
        <v>1.2028378607707075E-3</v>
      </c>
      <c r="U1992" s="52">
        <f>IF(U1988=0,MAX(U1986-U1987,(V$13*V1985+V$14*V1999)*EXP(-$B$12*V$9)),IF(U1986&gt;U1988,U1986-U1987,MAX(U1986-U1987,(V$13*V1985+V$14*V1999)*EXP(-$B$12*V$9))))</f>
        <v>5.4235042832721434E-4</v>
      </c>
      <c r="W1992" s="52">
        <f>IF(W1988=0,MAX(W1986-W1987,(X$13*X1985+X$14*X1999)*EXP(-$B$12*X$9)),IF(W1986&gt;W1988,W1986-W1987,MAX(W1986-W1987,(X$13*X1985+X$14*X1999)*EXP(-$B$12*X$9))))</f>
        <v>1.5122529454774872E-4</v>
      </c>
      <c r="Y1992" s="52">
        <f>IF(Y1988=0,MAX(Y1986-Y1987,(Z$13*Z1985+Z$14*Z1999)*EXP(-$B$12*Z$9)),IF(Y1986&gt;Y1988,Y1986-Y1987,MAX(Y1986-Y1987,(Z$13*Z1985+Z$14*Z1999)*EXP(-$B$12*Z$9))))</f>
        <v>0</v>
      </c>
      <c r="AA1992" s="52">
        <f>IF(AA1988=0,MAX(AA1986-AA1987,(AB$13*AB1985+AB$14*AB1999)*EXP(-$B$12*AB$9)),IF(AA1986&gt;AA1988,AA1986-AA1987,MAX(AA1986-AA1987,(AB$13*AB1985+AB$14*AB1999)*EXP(-$B$12*AB$9))))</f>
        <v>0</v>
      </c>
      <c r="AC1992" s="52">
        <f>IF(AC1988=0,MAX(AC1986-AC1987,(AD$13*AD1985+AD$14*AD1999)*EXP(-$B$12*AD$9)),IF(AC1986&gt;AC1988,AC1986-AC1987,MAX(AC1986-AC1987,(AD$13*AD1985+AD$14*AD1999)*EXP(-$B$12*AD$9))))</f>
        <v>0</v>
      </c>
      <c r="AE1992" s="52">
        <f>IF(AE1988=0,MAX(AE1986-AE1987,(AF$13*AF1985+AF$14*AF1999)*EXP(-$B$12*AF$9)),IF(AE1986&gt;AE1988,AE1986-AE1987,MAX(AE1986-AE1987,(AF$13*AF1985+AF$14*AF1999)*EXP(-$B$12*AF$9))))</f>
        <v>0</v>
      </c>
    </row>
    <row r="1993" spans="6:32">
      <c r="H1993" s="48">
        <f>G2000*H$11</f>
        <v>0.41821996531094791</v>
      </c>
      <c r="J1993" s="48">
        <f>I2000*J$11</f>
        <v>0.41821996531094791</v>
      </c>
      <c r="L1993" s="48">
        <f>K2000*L$11</f>
        <v>0.41821996531094791</v>
      </c>
      <c r="N1993" s="48">
        <f>M2000*N$11</f>
        <v>0.41821996531094791</v>
      </c>
      <c r="P1993" s="48">
        <f>O2000*P$11</f>
        <v>0.41821996531094791</v>
      </c>
      <c r="R1993" s="48">
        <f>Q2000*R$11</f>
        <v>0.41821996531094791</v>
      </c>
      <c r="T1993" s="48">
        <f>S2000*T$11</f>
        <v>0.41821996531094791</v>
      </c>
      <c r="V1993" s="48">
        <f>U2000*V$11</f>
        <v>0.41821996531094791</v>
      </c>
      <c r="X1993" s="48">
        <f>W2000*X$11</f>
        <v>0.41821996531094791</v>
      </c>
      <c r="Z1993" s="48">
        <f>Y2000*Z$11</f>
        <v>0.41821996531094791</v>
      </c>
      <c r="AB1993" s="48">
        <f>AA2000*AB$11</f>
        <v>0.41821996531094791</v>
      </c>
      <c r="AD1993" s="48">
        <f>AC2000*AD$11</f>
        <v>0.41821996531094791</v>
      </c>
      <c r="AF1993" s="48">
        <f>AE2000*AF$11</f>
        <v>0.41821996531094791</v>
      </c>
    </row>
    <row r="1994" spans="6:32">
      <c r="H1994" s="49">
        <f>H$18</f>
        <v>1</v>
      </c>
      <c r="J1994" s="49">
        <f>J$18</f>
        <v>1</v>
      </c>
      <c r="L1994" s="49">
        <f>L$18</f>
        <v>1</v>
      </c>
      <c r="N1994" s="49">
        <f>N$18</f>
        <v>1</v>
      </c>
      <c r="P1994" s="49">
        <f>P$18</f>
        <v>1</v>
      </c>
      <c r="R1994" s="49">
        <f>R$18</f>
        <v>1</v>
      </c>
      <c r="T1994" s="49">
        <f>T$18</f>
        <v>1</v>
      </c>
      <c r="V1994" s="49">
        <f>V$18</f>
        <v>1</v>
      </c>
      <c r="X1994" s="49">
        <f>X$18</f>
        <v>1</v>
      </c>
      <c r="Z1994" s="49">
        <f>Z$18</f>
        <v>1</v>
      </c>
      <c r="AB1994" s="49">
        <f>AB$18</f>
        <v>1</v>
      </c>
      <c r="AD1994" s="49">
        <f>AD$18</f>
        <v>1</v>
      </c>
      <c r="AF1994" s="49">
        <f>AF$18</f>
        <v>1</v>
      </c>
    </row>
    <row r="1995" spans="6:32">
      <c r="H1995" s="48">
        <f>H$19</f>
        <v>0</v>
      </c>
      <c r="J1995" s="48">
        <f>J$19</f>
        <v>0</v>
      </c>
      <c r="L1995" s="48">
        <f>L$19</f>
        <v>0</v>
      </c>
      <c r="N1995" s="48">
        <f>N$19</f>
        <v>0</v>
      </c>
      <c r="P1995" s="48">
        <f>P$19</f>
        <v>0</v>
      </c>
      <c r="R1995" s="48">
        <f>R$19</f>
        <v>0</v>
      </c>
      <c r="T1995" s="48">
        <f>T$19</f>
        <v>0</v>
      </c>
      <c r="V1995" s="48">
        <f>V$19</f>
        <v>0</v>
      </c>
      <c r="X1995" s="48">
        <f>X$19</f>
        <v>0</v>
      </c>
      <c r="Z1995" s="48">
        <f>Z$19</f>
        <v>0</v>
      </c>
      <c r="AB1995" s="48">
        <f>AB$19</f>
        <v>0</v>
      </c>
      <c r="AD1995" s="48">
        <f>AD$19</f>
        <v>0</v>
      </c>
      <c r="AF1995" s="48">
        <f>AF$19</f>
        <v>0</v>
      </c>
    </row>
    <row r="1996" spans="6:32">
      <c r="H1996" s="49"/>
      <c r="J1996" s="49"/>
      <c r="L1996" s="49"/>
      <c r="N1996" s="49"/>
      <c r="P1996" s="49"/>
      <c r="R1996" s="49"/>
      <c r="T1996" s="49"/>
      <c r="V1996" s="49"/>
      <c r="X1996" s="49"/>
      <c r="Z1996" s="49"/>
      <c r="AB1996" s="49"/>
      <c r="AD1996" s="49"/>
      <c r="AF1996" s="49"/>
    </row>
    <row r="1997" spans="6:32">
      <c r="H1997" s="50"/>
      <c r="J1997" s="50"/>
      <c r="L1997" s="50"/>
      <c r="N1997" s="50"/>
      <c r="P1997" s="50"/>
      <c r="R1997" s="50"/>
      <c r="T1997" s="50"/>
      <c r="V1997" s="50"/>
      <c r="X1997" s="50"/>
      <c r="Z1997" s="50"/>
      <c r="AB1997" s="50"/>
      <c r="AD1997" s="50"/>
      <c r="AF1997" s="50"/>
    </row>
    <row r="1998" spans="6:32">
      <c r="H1998" s="51"/>
      <c r="J1998" s="51"/>
      <c r="L1998" s="51"/>
      <c r="N1998" s="51"/>
      <c r="P1998" s="51"/>
      <c r="R1998" s="51"/>
      <c r="T1998" s="51"/>
      <c r="V1998" s="51"/>
      <c r="X1998" s="51"/>
      <c r="Z1998" s="51"/>
      <c r="AB1998" s="51"/>
      <c r="AD1998" s="51"/>
      <c r="AF1998" s="51"/>
    </row>
    <row r="1999" spans="6:32">
      <c r="G1999" s="47">
        <f>G$7</f>
        <v>0</v>
      </c>
      <c r="H1999" s="52">
        <f>IF(H1995=0,MAX(H1993-H1994,(I$13*I1992+I$14*I2006)*EXP(-$B$12*I$9)),IF(H1993&gt;H1995,H1993-H1994,MAX(H1993-H1994,(I$13*I1992+I$14*I2006)*EXP(-$B$12*I$9))))</f>
        <v>5.220435996474238E-3</v>
      </c>
      <c r="I1999" s="47"/>
      <c r="J1999" s="52">
        <f>IF(J1995=0,MAX(J1993-J1994,(K$13*K1992+K$14*K2006)*EXP(-$B$12*K$9)),IF(J1993&gt;J1995,J1993-J1994,MAX(J1993-J1994,(K$13*K1992+K$14*K2006)*EXP(-$B$12*K$9))))</f>
        <v>3.9871167479543753E-3</v>
      </c>
      <c r="L1999" s="52">
        <f>IF(L1995=0,MAX(L1993-L1994,(M$13*M1992+M$14*M2006)*EXP(-$B$12*M$9)),IF(L1993&gt;L1995,L1993-L1994,MAX(L1993-L1994,(M$13*M1992+M$14*M2006)*EXP(-$B$12*M$9))))</f>
        <v>2.9022012733787828E-3</v>
      </c>
      <c r="N1999" s="52">
        <f>IF(N1995=0,MAX(N1993-N1994,(O$13*O1992+O$14*O2006)*EXP(-$B$12*O$9)),IF(N1993&gt;N1995,N1993-N1994,MAX(N1993-N1994,(O$13*O1992+O$14*O2006)*EXP(-$B$12*O$9))))</f>
        <v>1.9795697266168821E-3</v>
      </c>
      <c r="P1999" s="52">
        <f>IF(P1995=0,MAX(P1993-P1994,(Q$13*Q1992+Q$14*Q2006)*EXP(-$B$12*Q$9)),IF(P1993&gt;P1995,P1993-P1994,MAX(P1993-P1994,(Q$13*Q1992+Q$14*Q2006)*EXP(-$B$12*Q$9))))</f>
        <v>1.2315040389126719E-3</v>
      </c>
      <c r="R1999" s="52">
        <f>IF(R1995=0,MAX(R1993-R1994,(S$13*S1992+S$14*S2006)*EXP(-$B$12*S$9)),IF(R1993&gt;R1995,R1993-R1994,MAX(R1993-R1994,(S$13*S1992+S$14*S2006)*EXP(-$B$12*S$9))))</f>
        <v>6.6639933897603228E-4</v>
      </c>
      <c r="T1999" s="52">
        <f>IF(T1995=0,MAX(T1993-T1994,(U$13*U1992+U$14*U2006)*EXP(-$B$12*U$9)),IF(T1993&gt;T1995,T1993-T1994,MAX(T1993-T1994,(U$13*U1992+U$14*U2006)*EXP(-$B$12*U$9))))</f>
        <v>2.8496596527088138E-4</v>
      </c>
      <c r="V1999" s="52">
        <f>IF(V1995=0,MAX(V1993-V1994,(W$13*W1992+W$14*W2006)*EXP(-$B$12*W$9)),IF(V1993&gt;V1995,V1993-V1994,MAX(V1993-V1994,(W$13*W1992+W$14*W2006)*EXP(-$B$12*W$9))))</f>
        <v>7.4315361988900168E-5</v>
      </c>
      <c r="X1999" s="52">
        <f>IF(X1995=0,MAX(X1993-X1994,(Y$13*Y1992+Y$14*Y2006)*EXP(-$B$12*Y$9)),IF(X1993&gt;X1995,X1993-X1994,MAX(X1993-X1994,(Y$13*Y1992+Y$14*Y2006)*EXP(-$B$12*Y$9))))</f>
        <v>0</v>
      </c>
      <c r="Z1999" s="52">
        <f>IF(Z1995=0,MAX(Z1993-Z1994,(AA$13*AA1992+AA$14*AA2006)*EXP(-$B$12*AA$9)),IF(Z1993&gt;Z1995,Z1993-Z1994,MAX(Z1993-Z1994,(AA$13*AA1992+AA$14*AA2006)*EXP(-$B$12*AA$9))))</f>
        <v>0</v>
      </c>
      <c r="AB1999" s="52">
        <f>IF(AB1995=0,MAX(AB1993-AB1994,(AC$13*AC1992+AC$14*AC2006)*EXP(-$B$12*AC$9)),IF(AB1993&gt;AB1995,AB1993-AB1994,MAX(AB1993-AB1994,(AC$13*AC1992+AC$14*AC2006)*EXP(-$B$12*AC$9))))</f>
        <v>0</v>
      </c>
      <c r="AD1999" s="52">
        <f>IF(AD1995=0,MAX(AD1993-AD1994,(AE$13*AE1992+AE$14*AE2006)*EXP(-$B$12*AE$9)),IF(AD1993&gt;AD1995,AD1993-AD1994,MAX(AD1993-AD1994,(AE$13*AE1992+AE$14*AE2006)*EXP(-$B$12*AE$9))))</f>
        <v>0</v>
      </c>
      <c r="AF1999" s="52">
        <f>IF(AF1995=0,MAX(AF1993-AF1994,(AG$13*AG1992+AG$14*AG2006)*EXP(-$B$12*AG$9)),IF(AF1993&gt;AF1995,AF1993-AF1994,MAX(AF1993-AF1994,(AG$13*AG1992+AG$14*AG2006)*EXP(-$B$12*AG$9))))</f>
        <v>0</v>
      </c>
    </row>
    <row r="2000" spans="6:32">
      <c r="F2000" s="2" t="s">
        <v>10</v>
      </c>
      <c r="G2000" s="48">
        <f>$B$19</f>
        <v>0.38</v>
      </c>
      <c r="H2000" s="51"/>
      <c r="I2000" s="48">
        <f>H2007*I$11</f>
        <v>0.38</v>
      </c>
      <c r="K2000" s="48">
        <f>J2007*K$11</f>
        <v>0.38</v>
      </c>
      <c r="M2000" s="48">
        <f>L2007*M$11</f>
        <v>0.38</v>
      </c>
      <c r="O2000" s="48">
        <f>N2007*O$11</f>
        <v>0.38</v>
      </c>
      <c r="Q2000" s="48">
        <f>P2007*Q$11</f>
        <v>0.38</v>
      </c>
      <c r="S2000" s="48">
        <f>R2007*S$11</f>
        <v>0.38</v>
      </c>
      <c r="U2000" s="48">
        <f>T2007*U$11</f>
        <v>0.38</v>
      </c>
      <c r="W2000" s="48">
        <f>V2007*W$11</f>
        <v>0.38</v>
      </c>
      <c r="Y2000" s="48">
        <f>X2007*Y$11</f>
        <v>0.38</v>
      </c>
      <c r="AA2000" s="48">
        <f>Z2007*AA$11</f>
        <v>0.38</v>
      </c>
      <c r="AC2000" s="48">
        <f>AB2007*AC$11</f>
        <v>0.38</v>
      </c>
      <c r="AE2000" s="48">
        <f>AD2007*AE$11</f>
        <v>0.38</v>
      </c>
    </row>
    <row r="2001" spans="6:32">
      <c r="F2001" s="2" t="s">
        <v>9</v>
      </c>
      <c r="G2001" s="49">
        <f>G$18</f>
        <v>1</v>
      </c>
      <c r="H2001" s="51"/>
      <c r="I2001" s="49">
        <f>I$18</f>
        <v>1</v>
      </c>
      <c r="K2001" s="49">
        <f>K$18</f>
        <v>1</v>
      </c>
      <c r="M2001" s="49">
        <f>M$18</f>
        <v>1</v>
      </c>
      <c r="O2001" s="49">
        <f>O$18</f>
        <v>1</v>
      </c>
      <c r="Q2001" s="49">
        <f>Q$18</f>
        <v>1</v>
      </c>
      <c r="S2001" s="49">
        <f>S$18</f>
        <v>1</v>
      </c>
      <c r="U2001" s="49">
        <f>U$18</f>
        <v>1</v>
      </c>
      <c r="W2001" s="49">
        <f>W$18</f>
        <v>1</v>
      </c>
      <c r="Y2001" s="49">
        <f>Y$18</f>
        <v>1</v>
      </c>
      <c r="AA2001" s="49">
        <f>AA$18</f>
        <v>1</v>
      </c>
      <c r="AC2001" s="49">
        <f>AC$18</f>
        <v>1</v>
      </c>
      <c r="AE2001" s="49">
        <f>AE$18</f>
        <v>1</v>
      </c>
    </row>
    <row r="2002" spans="6:32">
      <c r="F2002" s="2" t="s">
        <v>18</v>
      </c>
      <c r="G2002" s="48">
        <f>G$19</f>
        <v>0</v>
      </c>
      <c r="H2002" s="51"/>
      <c r="I2002" s="48">
        <f>I$19</f>
        <v>0</v>
      </c>
      <c r="K2002" s="48">
        <f>K$19</f>
        <v>0</v>
      </c>
      <c r="M2002" s="48">
        <f>M$19</f>
        <v>0</v>
      </c>
      <c r="O2002" s="48">
        <f>O$19</f>
        <v>0</v>
      </c>
      <c r="Q2002" s="48">
        <f>Q$19</f>
        <v>0</v>
      </c>
      <c r="S2002" s="48">
        <f>S$19</f>
        <v>0</v>
      </c>
      <c r="U2002" s="48">
        <f>U$19</f>
        <v>0</v>
      </c>
      <c r="W2002" s="48">
        <f>W$19</f>
        <v>0</v>
      </c>
      <c r="Y2002" s="48">
        <f>Y$19</f>
        <v>0</v>
      </c>
      <c r="AA2002" s="48">
        <f>AA$19</f>
        <v>0</v>
      </c>
      <c r="AC2002" s="48">
        <f>AC$19</f>
        <v>0</v>
      </c>
      <c r="AE2002" s="48">
        <f>AE$19</f>
        <v>0</v>
      </c>
    </row>
    <row r="2003" spans="6:32">
      <c r="G2003" s="49"/>
      <c r="H2003" s="51"/>
      <c r="I2003" s="49"/>
      <c r="K2003" s="49"/>
      <c r="M2003" s="49"/>
      <c r="O2003" s="49"/>
      <c r="Q2003" s="49"/>
      <c r="S2003" s="49"/>
      <c r="U2003" s="49"/>
      <c r="W2003" s="49"/>
      <c r="Y2003" s="49"/>
      <c r="AA2003" s="49"/>
      <c r="AC2003" s="49"/>
      <c r="AE2003" s="49"/>
    </row>
    <row r="2004" spans="6:32">
      <c r="G2004" s="50"/>
      <c r="H2004" s="51"/>
      <c r="I2004" s="50"/>
      <c r="K2004" s="50"/>
      <c r="M2004" s="50"/>
      <c r="O2004" s="50"/>
      <c r="Q2004" s="50"/>
      <c r="S2004" s="50"/>
      <c r="U2004" s="50"/>
      <c r="W2004" s="50"/>
      <c r="Y2004" s="50"/>
      <c r="AA2004" s="50"/>
      <c r="AC2004" s="50"/>
      <c r="AE2004" s="50"/>
    </row>
    <row r="2005" spans="6:32">
      <c r="G2005" s="51"/>
      <c r="H2005" s="51"/>
      <c r="I2005" s="51"/>
      <c r="K2005" s="51"/>
      <c r="M2005" s="51"/>
      <c r="O2005" s="51"/>
      <c r="Q2005" s="51"/>
      <c r="S2005" s="51"/>
      <c r="U2005" s="51"/>
      <c r="W2005" s="51"/>
      <c r="Y2005" s="51"/>
      <c r="AA2005" s="51"/>
      <c r="AC2005" s="51"/>
      <c r="AE2005" s="51"/>
    </row>
    <row r="2006" spans="6:32">
      <c r="F2006" s="1" t="s">
        <v>16</v>
      </c>
      <c r="G2006" s="52">
        <f>IF(G2002=0,MAX(G2000-G2001,(H$13*H1999+H$14*H2013)*EXP(-$B$12*H$9)),IF(G2000&gt;G2002,G2000-G2001,MAX(G2000-G2001,(H$13*H1999+H$14*H2013)*EXP(-$B$12*H$9))))</f>
        <v>3.3520499580171285E-3</v>
      </c>
      <c r="H2006" s="51"/>
      <c r="I2006" s="52">
        <f>IF(I2002=0,MAX(I2000-I2001,(J$13*J1999+J$14*J2013)*EXP(-$B$12*J$9)),IF(I2000&gt;I2002,I2000-I2001,MAX(I2000-I2001,(J$13*J1999+J$14*J2013)*EXP(-$B$12*J$9))))</f>
        <v>2.5034463440114486E-3</v>
      </c>
      <c r="J2006" s="47"/>
      <c r="K2006" s="52">
        <f>IF(K2002=0,MAX(K2000-K2001,(L$13*L1999+L$14*L2013)*EXP(-$B$12*L$9)),IF(K2000&gt;K2002,K2000-K2001,MAX(K2000-K2001,(L$13*L1999+L$14*L2013)*EXP(-$B$12*L$9))))</f>
        <v>1.7760894577953748E-3</v>
      </c>
      <c r="M2006" s="52">
        <f>IF(M2002=0,MAX(M2000-M2001,(N$13*N1999+N$14*N2013)*EXP(-$B$12*N$9)),IF(M2000&gt;M2002,M2000-M2001,MAX(M2000-M2001,(N$13*N1999+N$14*N2013)*EXP(-$B$12*N$9))))</f>
        <v>1.1759788824888865E-3</v>
      </c>
      <c r="O2006" s="52">
        <f>IF(O2002=0,MAX(O2000-O2001,(P$13*P1999+P$14*P2013)*EXP(-$B$12*P$9)),IF(O2000&gt;O2002,O2000-O2001,MAX(O2000-O2001,(P$13*P1999+P$14*P2013)*EXP(-$B$12*P$9))))</f>
        <v>7.0650250650845488E-4</v>
      </c>
      <c r="Q2006" s="52">
        <f>IF(Q2002=0,MAX(Q2000-Q2001,(R$13*R1999+R$14*R2013)*EXP(-$B$12*R$9)),IF(Q2000&gt;Q2002,Q2000-Q2001,MAX(Q2000-Q2001,(R$13*R1999+R$14*R2013)*EXP(-$B$12*R$9))))</f>
        <v>3.6673581659516625E-4</v>
      </c>
      <c r="S2006" s="52">
        <f>IF(S2002=0,MAX(S2000-S2001,(T$13*T1999+T$14*T2013)*EXP(-$B$12*T$9)),IF(S2000&gt;S2002,S2000-S2001,MAX(S2000-S2001,(T$13*T1999+T$14*T2013)*EXP(-$B$12*T$9))))</f>
        <v>1.4910183856571424E-4</v>
      </c>
      <c r="U2006" s="52">
        <f>IF(U2002=0,MAX(U2000-U2001,(V$13*V1999+V$14*V2013)*EXP(-$B$12*V$9)),IF(U2000&gt;U2002,U2000-U2001,MAX(U2000-U2001,(V$13*V1999+V$14*V2013)*EXP(-$B$12*V$9))))</f>
        <v>3.6520167106022571E-5</v>
      </c>
      <c r="W2006" s="52">
        <f>IF(W2002=0,MAX(W2000-W2001,(X$13*X1999+X$14*X2013)*EXP(-$B$12*X$9)),IF(W2000&gt;W2002,W2000-W2001,MAX(W2000-W2001,(X$13*X1999+X$14*X2013)*EXP(-$B$12*X$9))))</f>
        <v>0</v>
      </c>
      <c r="Y2006" s="52">
        <f>IF(Y2002=0,MAX(Y2000-Y2001,(Z$13*Z1999+Z$14*Z2013)*EXP(-$B$12*Z$9)),IF(Y2000&gt;Y2002,Y2000-Y2001,MAX(Y2000-Y2001,(Z$13*Z1999+Z$14*Z2013)*EXP(-$B$12*Z$9))))</f>
        <v>0</v>
      </c>
      <c r="AA2006" s="52">
        <f>IF(AA2002=0,MAX(AA2000-AA2001,(AB$13*AB1999+AB$14*AB2013)*EXP(-$B$12*AB$9)),IF(AA2000&gt;AA2002,AA2000-AA2001,MAX(AA2000-AA2001,(AB$13*AB1999+AB$14*AB2013)*EXP(-$B$12*AB$9))))</f>
        <v>0</v>
      </c>
      <c r="AC2006" s="52">
        <f>IF(AC2002=0,MAX(AC2000-AC2001,(AD$13*AD1999+AD$14*AD2013)*EXP(-$B$12*AD$9)),IF(AC2000&gt;AC2002,AC2000-AC2001,MAX(AC2000-AC2001,(AD$13*AD1999+AD$14*AD2013)*EXP(-$B$12*AD$9))))</f>
        <v>0</v>
      </c>
      <c r="AE2006" s="52">
        <f>IF(AE2002=0,MAX(AE2000-AE2001,(AF$13*AF1999+AF$14*AF2013)*EXP(-$B$12*AF$9)),IF(AE2000&gt;AE2002,AE2000-AE2001,MAX(AE2000-AE2001,(AF$13*AF1999+AF$14*AF2013)*EXP(-$B$12*AF$9))))</f>
        <v>0</v>
      </c>
    </row>
    <row r="2007" spans="6:32">
      <c r="H2007" s="48">
        <f>G2000*H$12</f>
        <v>0.34527285155465531</v>
      </c>
      <c r="J2007" s="48">
        <f>I2014*J$11</f>
        <v>0.34527285155465531</v>
      </c>
      <c r="L2007" s="48">
        <f>K2014*L$11</f>
        <v>0.34527285155465531</v>
      </c>
      <c r="N2007" s="48">
        <f>M2014*N$11</f>
        <v>0.34527285155465531</v>
      </c>
      <c r="P2007" s="48">
        <f>O2014*P$11</f>
        <v>0.34527285155465531</v>
      </c>
      <c r="R2007" s="48">
        <f>Q2014*R$11</f>
        <v>0.34527285155465531</v>
      </c>
      <c r="T2007" s="48">
        <f>S2014*T$11</f>
        <v>0.34527285155465531</v>
      </c>
      <c r="V2007" s="48">
        <f>U2014*V$11</f>
        <v>0.34527285155465531</v>
      </c>
      <c r="X2007" s="48">
        <f>W2014*X$11</f>
        <v>0.34527285155465531</v>
      </c>
      <c r="Z2007" s="48">
        <f>Y2014*Z$11</f>
        <v>0.34527285155465531</v>
      </c>
      <c r="AB2007" s="48">
        <f>AA2014*AB$11</f>
        <v>0.34527285155465531</v>
      </c>
      <c r="AD2007" s="48">
        <f>AC2014*AD$11</f>
        <v>0.34527285155465531</v>
      </c>
      <c r="AF2007" s="48">
        <f>AE2014*AF$11</f>
        <v>0.34527285155465526</v>
      </c>
    </row>
    <row r="2008" spans="6:32">
      <c r="H2008" s="49">
        <f>H$18</f>
        <v>1</v>
      </c>
      <c r="J2008" s="49">
        <f>J$18</f>
        <v>1</v>
      </c>
      <c r="L2008" s="49">
        <f>L$18</f>
        <v>1</v>
      </c>
      <c r="N2008" s="49">
        <f>N$18</f>
        <v>1</v>
      </c>
      <c r="P2008" s="49">
        <f>P$18</f>
        <v>1</v>
      </c>
      <c r="R2008" s="49">
        <f>R$18</f>
        <v>1</v>
      </c>
      <c r="T2008" s="49">
        <f>T$18</f>
        <v>1</v>
      </c>
      <c r="V2008" s="49">
        <f>V$18</f>
        <v>1</v>
      </c>
      <c r="X2008" s="49">
        <f>X$18</f>
        <v>1</v>
      </c>
      <c r="Z2008" s="49">
        <f>Z$18</f>
        <v>1</v>
      </c>
      <c r="AB2008" s="49">
        <f>AB$18</f>
        <v>1</v>
      </c>
      <c r="AD2008" s="49">
        <f>AD$18</f>
        <v>1</v>
      </c>
      <c r="AF2008" s="49">
        <f>AF$18</f>
        <v>1</v>
      </c>
    </row>
    <row r="2009" spans="6:32">
      <c r="H2009" s="48">
        <f>H$19</f>
        <v>0</v>
      </c>
      <c r="J2009" s="48">
        <f>J$19</f>
        <v>0</v>
      </c>
      <c r="L2009" s="48">
        <f>L$19</f>
        <v>0</v>
      </c>
      <c r="N2009" s="48">
        <f>N$19</f>
        <v>0</v>
      </c>
      <c r="P2009" s="48">
        <f>P$19</f>
        <v>0</v>
      </c>
      <c r="R2009" s="48">
        <f>R$19</f>
        <v>0</v>
      </c>
      <c r="T2009" s="48">
        <f>T$19</f>
        <v>0</v>
      </c>
      <c r="V2009" s="48">
        <f>V$19</f>
        <v>0</v>
      </c>
      <c r="X2009" s="48">
        <f>X$19</f>
        <v>0</v>
      </c>
      <c r="Z2009" s="48">
        <f>Z$19</f>
        <v>0</v>
      </c>
      <c r="AB2009" s="48">
        <f>AB$19</f>
        <v>0</v>
      </c>
      <c r="AD2009" s="48">
        <f>AD$19</f>
        <v>0</v>
      </c>
      <c r="AF2009" s="48">
        <f>AF$19</f>
        <v>0</v>
      </c>
    </row>
    <row r="2010" spans="6:32">
      <c r="H2010" s="49"/>
      <c r="J2010" s="49"/>
      <c r="L2010" s="49"/>
      <c r="N2010" s="49"/>
      <c r="P2010" s="49"/>
      <c r="R2010" s="49"/>
      <c r="T2010" s="49"/>
      <c r="V2010" s="49"/>
      <c r="X2010" s="49"/>
      <c r="Z2010" s="49"/>
      <c r="AB2010" s="49"/>
      <c r="AD2010" s="49"/>
      <c r="AF2010" s="49"/>
    </row>
    <row r="2011" spans="6:32">
      <c r="H2011" s="50"/>
      <c r="J2011" s="50"/>
      <c r="L2011" s="50"/>
      <c r="N2011" s="50"/>
      <c r="P2011" s="50"/>
      <c r="R2011" s="50"/>
      <c r="T2011" s="50"/>
      <c r="V2011" s="50"/>
      <c r="X2011" s="50"/>
      <c r="Z2011" s="50"/>
      <c r="AB2011" s="50"/>
      <c r="AD2011" s="50"/>
      <c r="AF2011" s="50"/>
    </row>
    <row r="2012" spans="6:32">
      <c r="H2012" s="51"/>
      <c r="I2012" s="51"/>
      <c r="J2012" s="51"/>
      <c r="L2012" s="51"/>
      <c r="N2012" s="51"/>
      <c r="P2012" s="51"/>
      <c r="R2012" s="51"/>
      <c r="T2012" s="51"/>
      <c r="V2012" s="51"/>
      <c r="X2012" s="51"/>
      <c r="Z2012" s="51"/>
      <c r="AB2012" s="51"/>
      <c r="AD2012" s="51"/>
      <c r="AF2012" s="51"/>
    </row>
    <row r="2013" spans="6:32">
      <c r="H2013" s="52">
        <f>IF(H2009=0,MAX(H2007-H2008,(I$13*I2006+I$14*I2020)*EXP(-$B$12*I$9)),IF(H2007&gt;H2009,H2007-H2008,MAX(H2007-H2008,(I$13*I2006+I$14*I2020)*EXP(-$B$12*I$9))))</f>
        <v>1.5576022562659752E-3</v>
      </c>
      <c r="I2013" s="51"/>
      <c r="J2013" s="52">
        <f>IF(J2009=0,MAX(J2007-J2008,(K$13*K2006+K$14*K2020)*EXP(-$B$12*K$9)),IF(J2007&gt;J2009,J2007-J2008,MAX(J2007-J2008,(K$13*K2006+K$14*K2020)*EXP(-$B$12*K$9))))</f>
        <v>1.0773727451645113E-3</v>
      </c>
      <c r="L2013" s="52">
        <f>IF(L2009=0,MAX(L2007-L2008,(M$13*M2006+M$14*M2020)*EXP(-$B$12*M$9)),IF(L2007&gt;L2009,L2007-L2008,MAX(L2007-L2008,(M$13*M2006+M$14*M2020)*EXP(-$B$12*M$9))))</f>
        <v>6.928190880537917E-4</v>
      </c>
      <c r="N2013" s="52">
        <f>IF(N2009=0,MAX(N2007-N2008,(O$13*O2006+O$14*O2020)*EXP(-$B$12*O$9)),IF(N2007&gt;N2009,N2007-N2008,MAX(N2007-N2008,(O$13*O2006+O$14*O2020)*EXP(-$B$12*O$9))))</f>
        <v>4.0231475912256995E-4</v>
      </c>
      <c r="P2013" s="52">
        <f>IF(P2009=0,MAX(P2007-P2008,(Q$13*Q2006+Q$14*Q2020)*EXP(-$B$12*Q$9)),IF(P2007&gt;P2009,P2007-P2008,MAX(P2007-P2008,(Q$13*Q2006+Q$14*Q2020)*EXP(-$B$12*Q$9))))</f>
        <v>2.0061693023374805E-4</v>
      </c>
      <c r="R2013" s="52">
        <f>IF(R2009=0,MAX(R2007-R2008,(S$13*S2006+S$14*S2020)*EXP(-$B$12*S$9)),IF(R2007&gt;R2009,R2007-R2008,MAX(R2007-R2008,(S$13*S2006+S$14*S2020)*EXP(-$B$12*S$9))))</f>
        <v>7.772581681109106E-5</v>
      </c>
      <c r="T2013" s="52">
        <f>IF(T2009=0,MAX(T2007-T2008,(U$13*U2006+U$14*U2020)*EXP(-$B$12*U$9)),IF(T2007&gt;T2009,T2007-T2008,MAX(T2007-T2008,(U$13*U2006+U$14*U2020)*EXP(-$B$12*U$9))))</f>
        <v>1.7946795517877176E-5</v>
      </c>
      <c r="V2013" s="52">
        <f>IF(V2009=0,MAX(V2007-V2008,(W$13*W2006+W$14*W2020)*EXP(-$B$12*W$9)),IF(V2007&gt;V2009,V2007-V2008,MAX(V2007-V2008,(W$13*W2006+W$14*W2020)*EXP(-$B$12*W$9))))</f>
        <v>0</v>
      </c>
      <c r="X2013" s="52">
        <f>IF(X2009=0,MAX(X2007-X2008,(Y$13*Y2006+Y$14*Y2020)*EXP(-$B$12*Y$9)),IF(X2007&gt;X2009,X2007-X2008,MAX(X2007-X2008,(Y$13*Y2006+Y$14*Y2020)*EXP(-$B$12*Y$9))))</f>
        <v>0</v>
      </c>
      <c r="Z2013" s="52">
        <f>IF(Z2009=0,MAX(Z2007-Z2008,(AA$13*AA2006+AA$14*AA2020)*EXP(-$B$12*AA$9)),IF(Z2007&gt;Z2009,Z2007-Z2008,MAX(Z2007-Z2008,(AA$13*AA2006+AA$14*AA2020)*EXP(-$B$12*AA$9))))</f>
        <v>0</v>
      </c>
      <c r="AB2013" s="52">
        <f>IF(AB2009=0,MAX(AB2007-AB2008,(AC$13*AC2006+AC$14*AC2020)*EXP(-$B$12*AC$9)),IF(AB2007&gt;AB2009,AB2007-AB2008,MAX(AB2007-AB2008,(AC$13*AC2006+AC$14*AC2020)*EXP(-$B$12*AC$9))))</f>
        <v>0</v>
      </c>
      <c r="AD2013" s="52">
        <f>IF(AD2009=0,MAX(AD2007-AD2008,(AE$13*AE2006+AE$14*AE2020)*EXP(-$B$12*AE$9)),IF(AD2007&gt;AD2009,AD2007-AD2008,MAX(AD2007-AD2008,(AE$13*AE2006+AE$14*AE2020)*EXP(-$B$12*AE$9))))</f>
        <v>0</v>
      </c>
      <c r="AF2013" s="52">
        <f>IF(AF2009=0,MAX(AF2007-AF2008,(AG$13*AG2006+AG$14*AG2020)*EXP(-$B$12*AG$9)),IF(AF2007&gt;AF2009,AF2007-AF2008,MAX(AF2007-AF2008,(AG$13*AG2006+AG$14*AG2020)*EXP(-$B$12*AG$9))))</f>
        <v>0</v>
      </c>
    </row>
    <row r="2014" spans="6:32">
      <c r="F2014" s="1"/>
      <c r="I2014" s="48">
        <f>H2007*I$12</f>
        <v>0.31371932110706063</v>
      </c>
      <c r="K2014" s="48">
        <f>J2021*K$11</f>
        <v>0.31371932110706063</v>
      </c>
      <c r="M2014" s="48">
        <f>L2021*M$11</f>
        <v>0.31371932110706063</v>
      </c>
      <c r="O2014" s="48">
        <f>N2021*O$11</f>
        <v>0.31371932110706063</v>
      </c>
      <c r="Q2014" s="48">
        <f>P2021*Q$11</f>
        <v>0.31371932110706063</v>
      </c>
      <c r="S2014" s="48">
        <f>R2021*S$11</f>
        <v>0.31371932110706063</v>
      </c>
      <c r="U2014" s="48">
        <f>T2021*U$11</f>
        <v>0.31371932110706063</v>
      </c>
      <c r="W2014" s="48">
        <f>V2021*W$11</f>
        <v>0.31371932110706063</v>
      </c>
      <c r="Y2014" s="48">
        <f>X2021*Y$11</f>
        <v>0.31371932110706063</v>
      </c>
      <c r="AA2014" s="48">
        <f>Z2021*AA$11</f>
        <v>0.31371932110706063</v>
      </c>
      <c r="AC2014" s="48">
        <f>AB2021*AC$11</f>
        <v>0.31371932110706063</v>
      </c>
      <c r="AE2014" s="48">
        <f>AD2021*AE$11</f>
        <v>0.31371932110706058</v>
      </c>
    </row>
    <row r="2015" spans="6:32">
      <c r="I2015" s="49">
        <f>I$18</f>
        <v>1</v>
      </c>
      <c r="K2015" s="49">
        <f>K$18</f>
        <v>1</v>
      </c>
      <c r="M2015" s="49">
        <f>M$18</f>
        <v>1</v>
      </c>
      <c r="O2015" s="49">
        <f>O$18</f>
        <v>1</v>
      </c>
      <c r="Q2015" s="49">
        <f>Q$18</f>
        <v>1</v>
      </c>
      <c r="S2015" s="49">
        <f>S$18</f>
        <v>1</v>
      </c>
      <c r="U2015" s="49">
        <f>U$18</f>
        <v>1</v>
      </c>
      <c r="W2015" s="49">
        <f>W$18</f>
        <v>1</v>
      </c>
      <c r="Y2015" s="49">
        <f>Y$18</f>
        <v>1</v>
      </c>
      <c r="AA2015" s="49">
        <f>AA$18</f>
        <v>1</v>
      </c>
      <c r="AC2015" s="49">
        <f>AC$18</f>
        <v>1</v>
      </c>
      <c r="AE2015" s="49">
        <f>AE$18</f>
        <v>1</v>
      </c>
    </row>
    <row r="2016" spans="6:32">
      <c r="I2016" s="48">
        <f>I$19</f>
        <v>0</v>
      </c>
      <c r="K2016" s="48">
        <f>K$19</f>
        <v>0</v>
      </c>
      <c r="M2016" s="48">
        <f>M$19</f>
        <v>0</v>
      </c>
      <c r="O2016" s="48">
        <f>O$19</f>
        <v>0</v>
      </c>
      <c r="Q2016" s="48">
        <f>Q$19</f>
        <v>0</v>
      </c>
      <c r="S2016" s="48">
        <f>S$19</f>
        <v>0</v>
      </c>
      <c r="U2016" s="48">
        <f>U$19</f>
        <v>0</v>
      </c>
      <c r="W2016" s="48">
        <f>W$19</f>
        <v>0</v>
      </c>
      <c r="Y2016" s="48">
        <f>Y$19</f>
        <v>0</v>
      </c>
      <c r="AA2016" s="48">
        <f>AA$19</f>
        <v>0</v>
      </c>
      <c r="AC2016" s="48">
        <f>AC$19</f>
        <v>0</v>
      </c>
      <c r="AE2016" s="48">
        <f>AE$19</f>
        <v>0</v>
      </c>
    </row>
    <row r="2017" spans="6:32">
      <c r="I2017" s="49"/>
      <c r="K2017" s="49"/>
      <c r="M2017" s="49"/>
      <c r="O2017" s="49"/>
      <c r="Q2017" s="49"/>
      <c r="S2017" s="49"/>
      <c r="U2017" s="49"/>
      <c r="W2017" s="49"/>
      <c r="Y2017" s="49"/>
      <c r="AA2017" s="49"/>
      <c r="AC2017" s="49"/>
      <c r="AE2017" s="49"/>
    </row>
    <row r="2018" spans="6:32">
      <c r="F2018" s="24"/>
      <c r="I2018" s="50"/>
      <c r="K2018" s="50"/>
      <c r="M2018" s="50"/>
      <c r="O2018" s="50"/>
      <c r="Q2018" s="50"/>
      <c r="S2018" s="50"/>
      <c r="U2018" s="50"/>
      <c r="W2018" s="50"/>
      <c r="Y2018" s="50"/>
      <c r="AA2018" s="50"/>
      <c r="AC2018" s="50"/>
      <c r="AE2018" s="50"/>
    </row>
    <row r="2019" spans="6:32">
      <c r="F2019" s="24"/>
      <c r="I2019" s="51"/>
      <c r="J2019" s="51"/>
      <c r="K2019" s="51"/>
      <c r="M2019" s="51"/>
      <c r="O2019" s="51"/>
      <c r="Q2019" s="51"/>
      <c r="S2019" s="51"/>
      <c r="U2019" s="51"/>
      <c r="W2019" s="51"/>
      <c r="Y2019" s="51"/>
      <c r="AA2019" s="51"/>
      <c r="AC2019" s="51"/>
      <c r="AE2019" s="51"/>
    </row>
    <row r="2020" spans="6:32">
      <c r="F2020" s="24"/>
      <c r="I2020" s="52">
        <f>IF(I2016=0,MAX(I2014-I2015,(J$13*J2013+J$14*J2027)*EXP(-$B$12*J$9)),IF(I2014&gt;I2016,I2014-I2015,MAX(I2014-I2015,(J$13*J2013+J$14*J2027)*EXP(-$B$12*J$9))))</f>
        <v>6.4820582003430034E-4</v>
      </c>
      <c r="J2020" s="51"/>
      <c r="K2020" s="52">
        <f>IF(K2016=0,MAX(K2014-K2015,(L$13*L2013+L$14*L2027)*EXP(-$B$12*L$9)),IF(K2014&gt;K2016,K2014-K2015,MAX(K2014-K2015,(L$13*L2013+L$14*L2027)*EXP(-$B$12*L$9))))</f>
        <v>4.0506405891763044E-4</v>
      </c>
      <c r="M2020" s="52">
        <f>IF(M2016=0,MAX(M2014-M2015,(N$13*N2013+N$14*N2027)*EXP(-$B$12*N$9)),IF(M2014&gt;M2016,M2014-M2015,MAX(M2014-M2015,(N$13*N2013+N$14*N2027)*EXP(-$B$12*N$9))))</f>
        <v>2.275523416075602E-4</v>
      </c>
      <c r="O2020" s="52">
        <f>IF(O2016=0,MAX(O2014-O2015,(P$13*P2013+P$14*P2027)*EXP(-$B$12*P$9)),IF(O2014&gt;O2016,O2014-O2015,MAX(O2014-O2015,(P$13*P2013+P$14*P2027)*EXP(-$B$12*P$9))))</f>
        <v>1.0915324831092219E-4</v>
      </c>
      <c r="Q2020" s="52">
        <f>IF(Q2016=0,MAX(Q2014-Q2015,(R$13*R2013+R$14*R2027)*EXP(-$B$12*R$9)),IF(Q2014&gt;Q2016,Q2014-Q2015,MAX(Q2014-Q2015,(R$13*R2013+R$14*R2027)*EXP(-$B$12*R$9))))</f>
        <v>4.0384913002995911E-5</v>
      </c>
      <c r="S2020" s="52">
        <f>IF(S2016=0,MAX(S2014-S2015,(T$13*T2013+T$14*T2027)*EXP(-$B$12*T$9)),IF(S2014&gt;S2016,S2014-S2015,MAX(S2014-S2015,(T$13*T2013+T$14*T2027)*EXP(-$B$12*T$9))))</f>
        <v>8.8194412809075158E-6</v>
      </c>
      <c r="U2020" s="52">
        <f>IF(U2016=0,MAX(U2014-U2015,(V$13*V2013+V$14*V2027)*EXP(-$B$12*V$9)),IF(U2014&gt;U2016,U2014-U2015,MAX(U2014-U2015,(V$13*V2013+V$14*V2027)*EXP(-$B$12*V$9))))</f>
        <v>0</v>
      </c>
      <c r="W2020" s="52">
        <f>IF(W2016=0,MAX(W2014-W2015,(X$13*X2013+X$14*X2027)*EXP(-$B$12*X$9)),IF(W2014&gt;W2016,W2014-W2015,MAX(W2014-W2015,(X$13*X2013+X$14*X2027)*EXP(-$B$12*X$9))))</f>
        <v>0</v>
      </c>
      <c r="Y2020" s="52">
        <f>IF(Y2016=0,MAX(Y2014-Y2015,(Z$13*Z2013+Z$14*Z2027)*EXP(-$B$12*Z$9)),IF(Y2014&gt;Y2016,Y2014-Y2015,MAX(Y2014-Y2015,(Z$13*Z2013+Z$14*Z2027)*EXP(-$B$12*Z$9))))</f>
        <v>0</v>
      </c>
      <c r="AA2020" s="52">
        <f>IF(AA2016=0,MAX(AA2014-AA2015,(AB$13*AB2013+AB$14*AB2027)*EXP(-$B$12*AB$9)),IF(AA2014&gt;AA2016,AA2014-AA2015,MAX(AA2014-AA2015,(AB$13*AB2013+AB$14*AB2027)*EXP(-$B$12*AB$9))))</f>
        <v>0</v>
      </c>
      <c r="AC2020" s="52">
        <f>IF(AC2016=0,MAX(AC2014-AC2015,(AD$13*AD2013+AD$14*AD2027)*EXP(-$B$12*AD$9)),IF(AC2014&gt;AC2016,AC2014-AC2015,MAX(AC2014-AC2015,(AD$13*AD2013+AD$14*AD2027)*EXP(-$B$12*AD$9))))</f>
        <v>0</v>
      </c>
      <c r="AE2020" s="52">
        <f>IF(AE2016=0,MAX(AE2014-AE2015,(AF$13*AF2013+AF$14*AF2027)*EXP(-$B$12*AF$9)),IF(AE2014&gt;AE2016,AE2014-AE2015,MAX(AE2014-AE2015,(AF$13*AF2013+AF$14*AF2027)*EXP(-$B$12*AF$9))))</f>
        <v>0</v>
      </c>
    </row>
    <row r="2021" spans="6:32">
      <c r="I2021" s="19"/>
      <c r="J2021" s="48">
        <f>I2014*J$12</f>
        <v>0.28504938049059314</v>
      </c>
      <c r="L2021" s="48">
        <f>K2028*L$11</f>
        <v>0.28504938049059314</v>
      </c>
      <c r="N2021" s="48">
        <f>M2028*N$11</f>
        <v>0.28504938049059314</v>
      </c>
      <c r="P2021" s="48">
        <f>O2028*P$11</f>
        <v>0.28504938049059314</v>
      </c>
      <c r="R2021" s="48">
        <f>Q2028*R$11</f>
        <v>0.28504938049059314</v>
      </c>
      <c r="T2021" s="48">
        <f>S2028*T$11</f>
        <v>0.28504938049059314</v>
      </c>
      <c r="V2021" s="48">
        <f>U2028*V$11</f>
        <v>0.28504938049059314</v>
      </c>
      <c r="X2021" s="48">
        <f>W2028*X$11</f>
        <v>0.28504938049059314</v>
      </c>
      <c r="Z2021" s="48">
        <f>Y2028*Z$11</f>
        <v>0.28504938049059314</v>
      </c>
      <c r="AB2021" s="48">
        <f>AA2028*AB$11</f>
        <v>0.28504938049059314</v>
      </c>
      <c r="AD2021" s="48">
        <f>AC2028*AD$11</f>
        <v>0.28504938049059309</v>
      </c>
      <c r="AF2021" s="48">
        <f>AE2028*AF$11</f>
        <v>0.28504938049059309</v>
      </c>
    </row>
    <row r="2022" spans="6:32">
      <c r="I2022" s="19"/>
      <c r="J2022" s="49">
        <f>J$18</f>
        <v>1</v>
      </c>
      <c r="L2022" s="49">
        <f>L$18</f>
        <v>1</v>
      </c>
      <c r="N2022" s="49">
        <f>N$18</f>
        <v>1</v>
      </c>
      <c r="P2022" s="49">
        <f>P$18</f>
        <v>1</v>
      </c>
      <c r="R2022" s="49">
        <f>R$18</f>
        <v>1</v>
      </c>
      <c r="T2022" s="49">
        <f>T$18</f>
        <v>1</v>
      </c>
      <c r="V2022" s="49">
        <f>V$18</f>
        <v>1</v>
      </c>
      <c r="X2022" s="49">
        <f>X$18</f>
        <v>1</v>
      </c>
      <c r="Z2022" s="49">
        <f>Z$18</f>
        <v>1</v>
      </c>
      <c r="AB2022" s="49">
        <f>AB$18</f>
        <v>1</v>
      </c>
      <c r="AD2022" s="49">
        <f>AD$18</f>
        <v>1</v>
      </c>
      <c r="AF2022" s="49">
        <f>AF$18</f>
        <v>1</v>
      </c>
    </row>
    <row r="2023" spans="6:32">
      <c r="J2023" s="48">
        <f>J$19</f>
        <v>0</v>
      </c>
      <c r="L2023" s="48">
        <f>L$19</f>
        <v>0</v>
      </c>
      <c r="N2023" s="48">
        <f>N$19</f>
        <v>0</v>
      </c>
      <c r="P2023" s="48">
        <f>P$19</f>
        <v>0</v>
      </c>
      <c r="R2023" s="48">
        <f>R$19</f>
        <v>0</v>
      </c>
      <c r="T2023" s="48">
        <f>T$19</f>
        <v>0</v>
      </c>
      <c r="V2023" s="48">
        <f>V$19</f>
        <v>0</v>
      </c>
      <c r="X2023" s="48">
        <f>X$19</f>
        <v>0</v>
      </c>
      <c r="Z2023" s="48">
        <f>Z$19</f>
        <v>0</v>
      </c>
      <c r="AB2023" s="48">
        <f>AB$19</f>
        <v>0</v>
      </c>
      <c r="AD2023" s="48">
        <f>AD$19</f>
        <v>0</v>
      </c>
      <c r="AF2023" s="48">
        <f>AF$19</f>
        <v>0</v>
      </c>
    </row>
    <row r="2024" spans="6:32">
      <c r="J2024" s="49"/>
      <c r="L2024" s="49"/>
      <c r="N2024" s="49"/>
      <c r="P2024" s="49"/>
      <c r="R2024" s="49"/>
      <c r="T2024" s="49"/>
      <c r="V2024" s="49"/>
      <c r="X2024" s="49"/>
      <c r="Z2024" s="49"/>
      <c r="AB2024" s="49"/>
      <c r="AD2024" s="49"/>
      <c r="AF2024" s="49"/>
    </row>
    <row r="2025" spans="6:32">
      <c r="J2025" s="50"/>
      <c r="L2025" s="50"/>
      <c r="N2025" s="50"/>
      <c r="P2025" s="50"/>
      <c r="R2025" s="50"/>
      <c r="T2025" s="50"/>
      <c r="V2025" s="50"/>
      <c r="X2025" s="50"/>
      <c r="Z2025" s="50"/>
      <c r="AB2025" s="50"/>
      <c r="AD2025" s="50"/>
      <c r="AF2025" s="50"/>
    </row>
    <row r="2026" spans="6:32">
      <c r="J2026" s="51"/>
      <c r="L2026" s="51"/>
      <c r="N2026" s="51"/>
      <c r="P2026" s="51"/>
      <c r="R2026" s="51"/>
      <c r="T2026" s="51"/>
      <c r="V2026" s="51"/>
      <c r="X2026" s="51"/>
      <c r="Z2026" s="51"/>
      <c r="AB2026" s="51"/>
      <c r="AD2026" s="51"/>
      <c r="AF2026" s="51"/>
    </row>
    <row r="2027" spans="6:32">
      <c r="J2027" s="52">
        <f>IF(J2023=0,MAX(J2021-J2022,(K$13*K2020+K$14*K2034)*EXP(-$B$12*K$9)),IF(J2021&gt;J2023,J2021-J2022,MAX(J2021-J2022,(K$13*K2020+K$14*K2034)*EXP(-$B$12*K$9))))</f>
        <v>2.3516378708838068E-4</v>
      </c>
      <c r="L2027" s="52">
        <f>IF(L2023=0,MAX(L2021-L2022,(M$13*M2020+M$14*M2034)*EXP(-$B$12*M$9)),IF(L2021&gt;L2023,L2021-L2022,MAX(L2021-L2022,(M$13*M2020+M$14*M2034)*EXP(-$B$12*M$9))))</f>
        <v>1.2791227635466289E-4</v>
      </c>
      <c r="N2027" s="52">
        <f>IF(N2023=0,MAX(N2021-N2022,(O$13*O2020+O$14*O2034)*EXP(-$B$12*O$9)),IF(N2021&gt;N2023,N2021-N2022,MAX(N2021-N2022,(O$13*O2020+O$14*O2034)*EXP(-$B$12*O$9))))</f>
        <v>5.9099443439096374E-5</v>
      </c>
      <c r="P2027" s="52">
        <f>IF(P2023=0,MAX(P2021-P2022,(Q$13*Q2020+Q$14*Q2034)*EXP(-$B$12*Q$9)),IF(P2021&gt;P2023,P2021-P2022,MAX(P2021-P2022,(Q$13*Q2020+Q$14*Q2034)*EXP(-$B$12*Q$9))))</f>
        <v>2.0921625899188708E-5</v>
      </c>
      <c r="R2027" s="52">
        <f>IF(R2023=0,MAX(R2021-R2022,(S$13*S2020+S$14*S2034)*EXP(-$B$12*S$9)),IF(R2021&gt;R2023,R2021-R2022,MAX(R2021-R2022,(S$13*S2020+S$14*S2034)*EXP(-$B$12*S$9))))</f>
        <v>4.3340631161643762E-6</v>
      </c>
      <c r="T2027" s="52">
        <f>IF(T2023=0,MAX(T2021-T2022,(U$13*U2020+U$14*U2034)*EXP(-$B$12*U$9)),IF(T2021&gt;T2023,T2021-T2022,MAX(T2021-T2022,(U$13*U2020+U$14*U2034)*EXP(-$B$12*U$9))))</f>
        <v>0</v>
      </c>
      <c r="V2027" s="52">
        <f>IF(V2023=0,MAX(V2021-V2022,(W$13*W2020+W$14*W2034)*EXP(-$B$12*W$9)),IF(V2021&gt;V2023,V2021-V2022,MAX(V2021-V2022,(W$13*W2020+W$14*W2034)*EXP(-$B$12*W$9))))</f>
        <v>0</v>
      </c>
      <c r="X2027" s="52">
        <f>IF(X2023=0,MAX(X2021-X2022,(Y$13*Y2020+Y$14*Y2034)*EXP(-$B$12*Y$9)),IF(X2021&gt;X2023,X2021-X2022,MAX(X2021-X2022,(Y$13*Y2020+Y$14*Y2034)*EXP(-$B$12*Y$9))))</f>
        <v>0</v>
      </c>
      <c r="Z2027" s="52">
        <f>IF(Z2023=0,MAX(Z2021-Z2022,(AA$13*AA2020+AA$14*AA2034)*EXP(-$B$12*AA$9)),IF(Z2021&gt;Z2023,Z2021-Z2022,MAX(Z2021-Z2022,(AA$13*AA2020+AA$14*AA2034)*EXP(-$B$12*AA$9))))</f>
        <v>0</v>
      </c>
      <c r="AB2027" s="52">
        <f>IF(AB2023=0,MAX(AB2021-AB2022,(AC$13*AC2020+AC$14*AC2034)*EXP(-$B$12*AC$9)),IF(AB2021&gt;AB2023,AB2021-AB2022,MAX(AB2021-AB2022,(AC$13*AC2020+AC$14*AC2034)*EXP(-$B$12*AC$9))))</f>
        <v>0</v>
      </c>
      <c r="AD2027" s="52">
        <f>IF(AD2023=0,MAX(AD2021-AD2022,(AE$13*AE2020+AE$14*AE2034)*EXP(-$B$12*AE$9)),IF(AD2021&gt;AD2023,AD2021-AD2022,MAX(AD2021-AD2022,(AE$13*AE2020+AE$14*AE2034)*EXP(-$B$12*AE$9))))</f>
        <v>0</v>
      </c>
      <c r="AF2027" s="52">
        <f>IF(AF2023=0,MAX(AF2021-AF2022,(AG$13*AG2020+AG$14*AG2034)*EXP(-$B$12*AG$9)),IF(AF2021&gt;AF2023,AF2021-AF2022,MAX(AF2021-AF2022,(AG$13*AG2020+AG$14*AG2034)*EXP(-$B$12*AG$9))))</f>
        <v>0</v>
      </c>
    </row>
    <row r="2028" spans="6:32">
      <c r="K2028" s="48">
        <f>J2021*K$12</f>
        <v>0.25899950641019742</v>
      </c>
      <c r="M2028" s="48">
        <f>L2035*M$11</f>
        <v>0.25899950641019742</v>
      </c>
      <c r="O2028" s="48">
        <f>N2035*O$11</f>
        <v>0.25899950641019742</v>
      </c>
      <c r="Q2028" s="48">
        <f>P2035*Q$11</f>
        <v>0.25899950641019742</v>
      </c>
      <c r="S2028" s="48">
        <f>R2035*S$11</f>
        <v>0.25899950641019742</v>
      </c>
      <c r="U2028" s="48">
        <f>T2035*U$11</f>
        <v>0.25899950641019742</v>
      </c>
      <c r="W2028" s="48">
        <f>V2035*W$11</f>
        <v>0.25899950641019742</v>
      </c>
      <c r="Y2028" s="48">
        <f>X2035*Y$11</f>
        <v>0.25899950641019742</v>
      </c>
      <c r="AA2028" s="48">
        <f>Z2035*AA$11</f>
        <v>0.25899950641019742</v>
      </c>
      <c r="AC2028" s="48">
        <f>AB2035*AC$11</f>
        <v>0.25899950641019737</v>
      </c>
      <c r="AE2028" s="48">
        <f>AD2035*AE$11</f>
        <v>0.25899950641019737</v>
      </c>
    </row>
    <row r="2029" spans="6:32">
      <c r="K2029" s="49">
        <f>K$18</f>
        <v>1</v>
      </c>
      <c r="M2029" s="49">
        <f>M$18</f>
        <v>1</v>
      </c>
      <c r="O2029" s="49">
        <f>O$18</f>
        <v>1</v>
      </c>
      <c r="Q2029" s="49">
        <f>Q$18</f>
        <v>1</v>
      </c>
      <c r="S2029" s="49">
        <f>S$18</f>
        <v>1</v>
      </c>
      <c r="U2029" s="49">
        <f>U$18</f>
        <v>1</v>
      </c>
      <c r="W2029" s="49">
        <f>W$18</f>
        <v>1</v>
      </c>
      <c r="Y2029" s="49">
        <f>Y$18</f>
        <v>1</v>
      </c>
      <c r="AA2029" s="49">
        <f>AA$18</f>
        <v>1</v>
      </c>
      <c r="AC2029" s="49">
        <f>AC$18</f>
        <v>1</v>
      </c>
      <c r="AE2029" s="49">
        <f>AE$18</f>
        <v>1</v>
      </c>
    </row>
    <row r="2030" spans="6:32">
      <c r="K2030" s="48">
        <f>K$19</f>
        <v>0</v>
      </c>
      <c r="M2030" s="48">
        <f>M$19</f>
        <v>0</v>
      </c>
      <c r="O2030" s="48">
        <f>O$19</f>
        <v>0</v>
      </c>
      <c r="Q2030" s="48">
        <f>Q$19</f>
        <v>0</v>
      </c>
      <c r="S2030" s="48">
        <f>S$19</f>
        <v>0</v>
      </c>
      <c r="U2030" s="48">
        <f>U$19</f>
        <v>0</v>
      </c>
      <c r="W2030" s="48">
        <f>W$19</f>
        <v>0</v>
      </c>
      <c r="Y2030" s="48">
        <f>Y$19</f>
        <v>0</v>
      </c>
      <c r="AA2030" s="48">
        <f>AA$19</f>
        <v>0</v>
      </c>
      <c r="AC2030" s="48">
        <f>AC$19</f>
        <v>0</v>
      </c>
      <c r="AE2030" s="48">
        <f>AE$19</f>
        <v>0</v>
      </c>
    </row>
    <row r="2031" spans="6:32">
      <c r="K2031" s="49"/>
      <c r="M2031" s="49"/>
      <c r="O2031" s="49"/>
      <c r="Q2031" s="49"/>
      <c r="S2031" s="49"/>
      <c r="U2031" s="49"/>
      <c r="W2031" s="49"/>
      <c r="Y2031" s="49"/>
      <c r="AA2031" s="49"/>
      <c r="AC2031" s="49"/>
      <c r="AE2031" s="49"/>
    </row>
    <row r="2032" spans="6:32">
      <c r="K2032" s="50"/>
      <c r="M2032" s="50"/>
      <c r="O2032" s="50"/>
      <c r="Q2032" s="50"/>
      <c r="S2032" s="50"/>
      <c r="U2032" s="50"/>
      <c r="W2032" s="50"/>
      <c r="Y2032" s="50"/>
      <c r="AA2032" s="50"/>
      <c r="AC2032" s="50"/>
      <c r="AE2032" s="50"/>
    </row>
    <row r="2033" spans="11:32">
      <c r="K2033" s="51"/>
      <c r="M2033" s="51"/>
      <c r="O2033" s="51"/>
      <c r="Q2033" s="51"/>
      <c r="S2033" s="51"/>
      <c r="U2033" s="51"/>
      <c r="W2033" s="51"/>
      <c r="Y2033" s="51"/>
      <c r="AA2033" s="51"/>
      <c r="AC2033" s="51"/>
      <c r="AE2033" s="51"/>
    </row>
    <row r="2034" spans="11:32">
      <c r="K2034" s="52">
        <f>IF(K2030=0,MAX(K2028-K2029,(L$13*L2027+L$14*L2041)*EXP(-$B$12*L$9)),IF(K2028&gt;K2030,K2028-K2029,MAX(K2028-K2029,(L$13*L2027+L$14*L2041)*EXP(-$B$12*L$9))))</f>
        <v>7.1495821911214753E-5</v>
      </c>
      <c r="M2034" s="52">
        <f>IF(M2030=0,MAX(M2028-M2029,(N$13*N2027+N$14*N2041)*EXP(-$B$12*N$9)),IF(M2028&gt;M2030,M2028-M2029,MAX(M2028-M2029,(N$13*N2027+N$14*N2041)*EXP(-$B$12*N$9))))</f>
        <v>3.1856681323407585E-5</v>
      </c>
      <c r="O2034" s="52">
        <f>IF(O2030=0,MAX(O2028-O2029,(P$13*P2027+P$14*P2041)*EXP(-$B$12*P$9)),IF(O2028&gt;O2030,O2028-O2029,MAX(O2028-O2029,(P$13*P2027+P$14*P2041)*EXP(-$B$12*P$9))))</f>
        <v>1.0809915349454726E-5</v>
      </c>
      <c r="Q2034" s="52">
        <f>IF(Q2030=0,MAX(Q2028-Q2029,(R$13*R2027+R$14*R2041)*EXP(-$B$12*R$9)),IF(Q2028&gt;Q2030,Q2028-Q2029,MAX(Q2028-Q2029,(R$13*R2027+R$14*R2041)*EXP(-$B$12*R$9))))</f>
        <v>2.1298518235571935E-6</v>
      </c>
      <c r="S2034" s="52">
        <f>IF(S2030=0,MAX(S2028-S2029,(T$13*T2027+T$14*T2041)*EXP(-$B$12*T$9)),IF(S2028&gt;S2030,S2028-S2029,MAX(S2028-S2029,(T$13*T2027+T$14*T2041)*EXP(-$B$12*T$9))))</f>
        <v>0</v>
      </c>
      <c r="U2034" s="52">
        <f>IF(U2030=0,MAX(U2028-U2029,(V$13*V2027+V$14*V2041)*EXP(-$B$12*V$9)),IF(U2028&gt;U2030,U2028-U2029,MAX(U2028-U2029,(V$13*V2027+V$14*V2041)*EXP(-$B$12*V$9))))</f>
        <v>0</v>
      </c>
      <c r="W2034" s="52">
        <f>IF(W2030=0,MAX(W2028-W2029,(X$13*X2027+X$14*X2041)*EXP(-$B$12*X$9)),IF(W2028&gt;W2030,W2028-W2029,MAX(W2028-W2029,(X$13*X2027+X$14*X2041)*EXP(-$B$12*X$9))))</f>
        <v>0</v>
      </c>
      <c r="Y2034" s="52">
        <f>IF(Y2030=0,MAX(Y2028-Y2029,(Z$13*Z2027+Z$14*Z2041)*EXP(-$B$12*Z$9)),IF(Y2028&gt;Y2030,Y2028-Y2029,MAX(Y2028-Y2029,(Z$13*Z2027+Z$14*Z2041)*EXP(-$B$12*Z$9))))</f>
        <v>0</v>
      </c>
      <c r="AA2034" s="52">
        <f>IF(AA2030=0,MAX(AA2028-AA2029,(AB$13*AB2027+AB$14*AB2041)*EXP(-$B$12*AB$9)),IF(AA2028&gt;AA2030,AA2028-AA2029,MAX(AA2028-AA2029,(AB$13*AB2027+AB$14*AB2041)*EXP(-$B$12*AB$9))))</f>
        <v>0</v>
      </c>
      <c r="AC2034" s="52">
        <f>IF(AC2030=0,MAX(AC2028-AC2029,(AD$13*AD2027+AD$14*AD2041)*EXP(-$B$12*AD$9)),IF(AC2028&gt;AC2030,AC2028-AC2029,MAX(AC2028-AC2029,(AD$13*AD2027+AD$14*AD2041)*EXP(-$B$12*AD$9))))</f>
        <v>0</v>
      </c>
      <c r="AE2034" s="52">
        <f>IF(AE2030=0,MAX(AE2028-AE2029,(AF$13*AF2027+AF$14*AF2041)*EXP(-$B$12*AF$9)),IF(AE2028&gt;AE2030,AE2028-AE2029,MAX(AE2028-AE2029,(AF$13*AF2027+AF$14*AF2041)*EXP(-$B$12*AF$9))))</f>
        <v>0</v>
      </c>
    </row>
    <row r="2035" spans="11:32">
      <c r="L2035" s="48">
        <f>K2028*L$12</f>
        <v>0.23533025823551865</v>
      </c>
      <c r="N2035" s="48">
        <f>M2042*N$11</f>
        <v>0.23533025823551865</v>
      </c>
      <c r="P2035" s="48">
        <f>O2042*P$11</f>
        <v>0.23533025823551865</v>
      </c>
      <c r="R2035" s="48">
        <f>Q2042*R$11</f>
        <v>0.23533025823551865</v>
      </c>
      <c r="T2035" s="48">
        <f>S2042*T$11</f>
        <v>0.23533025823551865</v>
      </c>
      <c r="V2035" s="48">
        <f>U2042*V$11</f>
        <v>0.23533025823551865</v>
      </c>
      <c r="X2035" s="48">
        <f>W2042*X$11</f>
        <v>0.23533025823551865</v>
      </c>
      <c r="Z2035" s="48">
        <f>Y2042*Z$11</f>
        <v>0.23533025823551865</v>
      </c>
      <c r="AB2035" s="48">
        <f>AA2042*AB$11</f>
        <v>0.23533025823551862</v>
      </c>
      <c r="AD2035" s="48">
        <f>AC2042*AD$11</f>
        <v>0.23533025823551862</v>
      </c>
      <c r="AF2035" s="48">
        <f>AE2042*AF$11</f>
        <v>0.23533025823551862</v>
      </c>
    </row>
    <row r="2036" spans="11:32">
      <c r="L2036" s="49">
        <f>L$18</f>
        <v>1</v>
      </c>
      <c r="N2036" s="49">
        <f>N$18</f>
        <v>1</v>
      </c>
      <c r="P2036" s="49">
        <f>P$18</f>
        <v>1</v>
      </c>
      <c r="R2036" s="49">
        <f>R$18</f>
        <v>1</v>
      </c>
      <c r="T2036" s="49">
        <f>T$18</f>
        <v>1</v>
      </c>
      <c r="V2036" s="49">
        <f>V$18</f>
        <v>1</v>
      </c>
      <c r="X2036" s="49">
        <f>X$18</f>
        <v>1</v>
      </c>
      <c r="Z2036" s="49">
        <f>Z$18</f>
        <v>1</v>
      </c>
      <c r="AB2036" s="49">
        <f>AB$18</f>
        <v>1</v>
      </c>
      <c r="AD2036" s="49">
        <f>AD$18</f>
        <v>1</v>
      </c>
      <c r="AF2036" s="49">
        <f>AF$18</f>
        <v>1</v>
      </c>
    </row>
    <row r="2037" spans="11:32">
      <c r="L2037" s="48">
        <f>L$19</f>
        <v>0</v>
      </c>
      <c r="N2037" s="48">
        <f>N$19</f>
        <v>0</v>
      </c>
      <c r="P2037" s="48">
        <f>P$19</f>
        <v>0</v>
      </c>
      <c r="R2037" s="48">
        <f>R$19</f>
        <v>0</v>
      </c>
      <c r="T2037" s="48">
        <f>T$19</f>
        <v>0</v>
      </c>
      <c r="V2037" s="48">
        <f>V$19</f>
        <v>0</v>
      </c>
      <c r="X2037" s="48">
        <f>X$19</f>
        <v>0</v>
      </c>
      <c r="Z2037" s="48">
        <f>Z$19</f>
        <v>0</v>
      </c>
      <c r="AB2037" s="48">
        <f>AB$19</f>
        <v>0</v>
      </c>
      <c r="AD2037" s="48">
        <f>AD$19</f>
        <v>0</v>
      </c>
      <c r="AF2037" s="48">
        <f>AF$19</f>
        <v>0</v>
      </c>
    </row>
    <row r="2038" spans="11:32">
      <c r="L2038" s="49"/>
      <c r="N2038" s="49"/>
      <c r="P2038" s="49"/>
      <c r="R2038" s="49"/>
      <c r="T2038" s="49"/>
      <c r="V2038" s="49"/>
      <c r="X2038" s="49"/>
      <c r="Z2038" s="49"/>
      <c r="AB2038" s="49"/>
      <c r="AD2038" s="49"/>
      <c r="AF2038" s="49"/>
    </row>
    <row r="2039" spans="11:32">
      <c r="L2039" s="50"/>
      <c r="N2039" s="50"/>
      <c r="P2039" s="50"/>
      <c r="R2039" s="50"/>
      <c r="T2039" s="50"/>
      <c r="V2039" s="50"/>
      <c r="X2039" s="50"/>
      <c r="Z2039" s="50"/>
      <c r="AB2039" s="50"/>
      <c r="AD2039" s="50"/>
      <c r="AF2039" s="50"/>
    </row>
    <row r="2040" spans="11:32">
      <c r="L2040" s="51"/>
      <c r="N2040" s="51"/>
      <c r="P2040" s="51"/>
      <c r="R2040" s="51"/>
      <c r="T2040" s="51"/>
      <c r="V2040" s="51"/>
      <c r="X2040" s="51"/>
      <c r="Z2040" s="51"/>
      <c r="AB2040" s="51"/>
      <c r="AD2040" s="51"/>
      <c r="AF2040" s="51"/>
    </row>
    <row r="2041" spans="11:32">
      <c r="L2041" s="52">
        <f>IF(L2037=0,MAX(L2035-L2036,(M$13*M2034+M$14*M2048)*EXP(-$B$12*M$9)),IF(L2035&gt;L2037,L2035-L2036,MAX(L2035-L2036,(M$13*M2034+M$14*M2048)*EXP(-$B$12*M$9))))</f>
        <v>1.7102355775988256E-5</v>
      </c>
      <c r="N2041" s="52">
        <f>IF(N2037=0,MAX(N2035-N2036,(O$13*O2034+O$14*O2048)*EXP(-$B$12*O$9)),IF(N2035&gt;N2037,N2035-N2036,MAX(N2035-N2036,(O$13*O2034+O$14*O2048)*EXP(-$B$12*O$9))))</f>
        <v>5.5719796947995097E-6</v>
      </c>
      <c r="P2041" s="52">
        <f>IF(P2037=0,MAX(P2035-P2036,(Q$13*Q2034+Q$14*Q2048)*EXP(-$B$12*Q$9)),IF(P2035&gt;P2037,P2035-P2036,MAX(P2035-P2036,(Q$13*Q2034+Q$14*Q2048)*EXP(-$B$12*Q$9))))</f>
        <v>1.0466549906463929E-6</v>
      </c>
      <c r="R2041" s="52">
        <f>IF(R2037=0,MAX(R2035-R2036,(S$13*S2034+S$14*S2048)*EXP(-$B$12*S$9)),IF(R2035&gt;R2037,R2035-R2036,MAX(R2035-R2036,(S$13*S2034+S$14*S2048)*EXP(-$B$12*S$9))))</f>
        <v>0</v>
      </c>
      <c r="T2041" s="52">
        <f>IF(T2037=0,MAX(T2035-T2036,(U$13*U2034+U$14*U2048)*EXP(-$B$12*U$9)),IF(T2035&gt;T2037,T2035-T2036,MAX(T2035-T2036,(U$13*U2034+U$14*U2048)*EXP(-$B$12*U$9))))</f>
        <v>0</v>
      </c>
      <c r="V2041" s="52">
        <f>IF(V2037=0,MAX(V2035-V2036,(W$13*W2034+W$14*W2048)*EXP(-$B$12*W$9)),IF(V2035&gt;V2037,V2035-V2036,MAX(V2035-V2036,(W$13*W2034+W$14*W2048)*EXP(-$B$12*W$9))))</f>
        <v>0</v>
      </c>
      <c r="X2041" s="52">
        <f>IF(X2037=0,MAX(X2035-X2036,(Y$13*Y2034+Y$14*Y2048)*EXP(-$B$12*Y$9)),IF(X2035&gt;X2037,X2035-X2036,MAX(X2035-X2036,(Y$13*Y2034+Y$14*Y2048)*EXP(-$B$12*Y$9))))</f>
        <v>0</v>
      </c>
      <c r="Z2041" s="52">
        <f>IF(Z2037=0,MAX(Z2035-Z2036,(AA$13*AA2034+AA$14*AA2048)*EXP(-$B$12*AA$9)),IF(Z2035&gt;Z2037,Z2035-Z2036,MAX(Z2035-Z2036,(AA$13*AA2034+AA$14*AA2048)*EXP(-$B$12*AA$9))))</f>
        <v>0</v>
      </c>
      <c r="AB2041" s="52">
        <f>IF(AB2037=0,MAX(AB2035-AB2036,(AC$13*AC2034+AC$14*AC2048)*EXP(-$B$12*AC$9)),IF(AB2035&gt;AB2037,AB2035-AB2036,MAX(AB2035-AB2036,(AC$13*AC2034+AC$14*AC2048)*EXP(-$B$12*AC$9))))</f>
        <v>0</v>
      </c>
      <c r="AD2041" s="52">
        <f>IF(AD2037=0,MAX(AD2035-AD2036,(AE$13*AE2034+AE$14*AE2048)*EXP(-$B$12*AE$9)),IF(AD2035&gt;AD2037,AD2035-AD2036,MAX(AD2035-AD2036,(AE$13*AE2034+AE$14*AE2048)*EXP(-$B$12*AE$9))))</f>
        <v>0</v>
      </c>
      <c r="AF2041" s="52">
        <f>IF(AF2037=0,MAX(AF2035-AF2036,(AG$13*AG2034+AG$14*AG2048)*EXP(-$B$12*AG$9)),IF(AF2035&gt;AF2037,AF2035-AF2036,MAX(AF2035-AF2036,(AG$13*AG2034+AG$14*AG2048)*EXP(-$B$12*AG$9))))</f>
        <v>0</v>
      </c>
    </row>
    <row r="2042" spans="11:32">
      <c r="M2042" s="48">
        <f>L2035*M$12</f>
        <v>0.21382407715281823</v>
      </c>
      <c r="O2042" s="48">
        <f>N2049*O$11</f>
        <v>0.21382407715281823</v>
      </c>
      <c r="Q2042" s="48">
        <f>P2049*Q$11</f>
        <v>0.21382407715281823</v>
      </c>
      <c r="S2042" s="48">
        <f>R2049*S$11</f>
        <v>0.21382407715281823</v>
      </c>
      <c r="U2042" s="48">
        <f>T2049*U$11</f>
        <v>0.21382407715281823</v>
      </c>
      <c r="W2042" s="48">
        <f>V2049*W$11</f>
        <v>0.21382407715281823</v>
      </c>
      <c r="Y2042" s="48">
        <f>X2049*Y$11</f>
        <v>0.21382407715281823</v>
      </c>
      <c r="AA2042" s="48">
        <f>Z2049*AA$11</f>
        <v>0.2138240771528182</v>
      </c>
      <c r="AC2042" s="48">
        <f>AB2049*AC$11</f>
        <v>0.2138240771528182</v>
      </c>
      <c r="AE2042" s="48">
        <f>AD2049*AE$11</f>
        <v>0.2138240771528182</v>
      </c>
    </row>
    <row r="2043" spans="11:32">
      <c r="M2043" s="49">
        <f>M$18</f>
        <v>1</v>
      </c>
      <c r="O2043" s="49">
        <f>O$18</f>
        <v>1</v>
      </c>
      <c r="Q2043" s="49">
        <f>Q$18</f>
        <v>1</v>
      </c>
      <c r="S2043" s="49">
        <f>S$18</f>
        <v>1</v>
      </c>
      <c r="U2043" s="49">
        <f>U$18</f>
        <v>1</v>
      </c>
      <c r="W2043" s="49">
        <f>W$18</f>
        <v>1</v>
      </c>
      <c r="Y2043" s="49">
        <f>Y$18</f>
        <v>1</v>
      </c>
      <c r="AA2043" s="49">
        <f>AA$18</f>
        <v>1</v>
      </c>
      <c r="AC2043" s="49">
        <f>AC$18</f>
        <v>1</v>
      </c>
      <c r="AE2043" s="49">
        <f>AE$18</f>
        <v>1</v>
      </c>
    </row>
    <row r="2044" spans="11:32">
      <c r="M2044" s="48">
        <f>M$19</f>
        <v>0</v>
      </c>
      <c r="O2044" s="48">
        <f>O$19</f>
        <v>0</v>
      </c>
      <c r="Q2044" s="48">
        <f>Q$19</f>
        <v>0</v>
      </c>
      <c r="S2044" s="48">
        <f>S$19</f>
        <v>0</v>
      </c>
      <c r="U2044" s="48">
        <f>U$19</f>
        <v>0</v>
      </c>
      <c r="W2044" s="48">
        <f>W$19</f>
        <v>0</v>
      </c>
      <c r="Y2044" s="48">
        <f>Y$19</f>
        <v>0</v>
      </c>
      <c r="AA2044" s="48">
        <f>AA$19</f>
        <v>0</v>
      </c>
      <c r="AC2044" s="48">
        <f>AC$19</f>
        <v>0</v>
      </c>
      <c r="AE2044" s="48">
        <f>AE$19</f>
        <v>0</v>
      </c>
    </row>
    <row r="2045" spans="11:32">
      <c r="M2045" s="49"/>
      <c r="O2045" s="49"/>
      <c r="Q2045" s="49"/>
      <c r="S2045" s="49"/>
      <c r="U2045" s="49"/>
      <c r="W2045" s="49"/>
      <c r="Y2045" s="49"/>
      <c r="AA2045" s="49"/>
      <c r="AC2045" s="49"/>
      <c r="AE2045" s="49"/>
    </row>
    <row r="2046" spans="11:32">
      <c r="M2046" s="50"/>
      <c r="O2046" s="50"/>
      <c r="Q2046" s="50"/>
      <c r="S2046" s="50"/>
      <c r="U2046" s="50"/>
      <c r="W2046" s="50"/>
      <c r="Y2046" s="50"/>
      <c r="AA2046" s="50"/>
      <c r="AC2046" s="50"/>
      <c r="AE2046" s="50"/>
    </row>
    <row r="2047" spans="11:32">
      <c r="M2047" s="51"/>
      <c r="O2047" s="51"/>
      <c r="Q2047" s="51"/>
      <c r="S2047" s="51"/>
      <c r="U2047" s="51"/>
      <c r="W2047" s="51"/>
      <c r="Y2047" s="51"/>
      <c r="AA2047" s="51"/>
      <c r="AC2047" s="51"/>
      <c r="AE2047" s="51"/>
    </row>
    <row r="2048" spans="11:32">
      <c r="M2048" s="52">
        <f>IF(M2044=0,MAX(M2042-M2043,(N$13*N2041+N$14*N2055)*EXP(-$B$12*N$9)),IF(M2042&gt;M2044,M2042-M2043,MAX(M2042-M2043,(N$13*N2041+N$14*N2055)*EXP(-$B$12*N$9))))</f>
        <v>2.8658397549146047E-6</v>
      </c>
      <c r="O2048" s="52">
        <f>IF(O2044=0,MAX(O2042-O2043,(P$13*P2041+P$14*P2055)*EXP(-$B$12*P$9)),IF(O2042&gt;O2044,O2042-O2043,MAX(O2042-O2043,(P$13*P2041+P$14*P2055)*EXP(-$B$12*P$9))))</f>
        <v>5.1434877174477001E-7</v>
      </c>
      <c r="Q2048" s="52">
        <f>IF(Q2044=0,MAX(Q2042-Q2043,(R$13*R2041+R$14*R2055)*EXP(-$B$12*R$9)),IF(Q2042&gt;Q2044,Q2042-Q2043,MAX(Q2042-Q2043,(R$13*R2041+R$14*R2055)*EXP(-$B$12*R$9))))</f>
        <v>0</v>
      </c>
      <c r="S2048" s="52">
        <f>IF(S2044=0,MAX(S2042-S2043,(T$13*T2041+T$14*T2055)*EXP(-$B$12*T$9)),IF(S2042&gt;S2044,S2042-S2043,MAX(S2042-S2043,(T$13*T2041+T$14*T2055)*EXP(-$B$12*T$9))))</f>
        <v>0</v>
      </c>
      <c r="U2048" s="52">
        <f>IF(U2044=0,MAX(U2042-U2043,(V$13*V2041+V$14*V2055)*EXP(-$B$12*V$9)),IF(U2042&gt;U2044,U2042-U2043,MAX(U2042-U2043,(V$13*V2041+V$14*V2055)*EXP(-$B$12*V$9))))</f>
        <v>0</v>
      </c>
      <c r="W2048" s="52">
        <f>IF(W2044=0,MAX(W2042-W2043,(X$13*X2041+X$14*X2055)*EXP(-$B$12*X$9)),IF(W2042&gt;W2044,W2042-W2043,MAX(W2042-W2043,(X$13*X2041+X$14*X2055)*EXP(-$B$12*X$9))))</f>
        <v>0</v>
      </c>
      <c r="Y2048" s="52">
        <f>IF(Y2044=0,MAX(Y2042-Y2043,(Z$13*Z2041+Z$14*Z2055)*EXP(-$B$12*Z$9)),IF(Y2042&gt;Y2044,Y2042-Y2043,MAX(Y2042-Y2043,(Z$13*Z2041+Z$14*Z2055)*EXP(-$B$12*Z$9))))</f>
        <v>0</v>
      </c>
      <c r="AA2048" s="52">
        <f>IF(AA2044=0,MAX(AA2042-AA2043,(AB$13*AB2041+AB$14*AB2055)*EXP(-$B$12*AB$9)),IF(AA2042&gt;AA2044,AA2042-AA2043,MAX(AA2042-AA2043,(AB$13*AB2041+AB$14*AB2055)*EXP(-$B$12*AB$9))))</f>
        <v>0</v>
      </c>
      <c r="AC2048" s="52">
        <f>IF(AC2044=0,MAX(AC2042-AC2043,(AD$13*AD2041+AD$14*AD2055)*EXP(-$B$12*AD$9)),IF(AC2042&gt;AC2044,AC2042-AC2043,MAX(AC2042-AC2043,(AD$13*AD2041+AD$14*AD2055)*EXP(-$B$12*AD$9))))</f>
        <v>0</v>
      </c>
      <c r="AE2048" s="52">
        <f>IF(AE2044=0,MAX(AE2042-AE2043,(AF$13*AF2041+AF$14*AF2055)*EXP(-$B$12*AF$9)),IF(AE2042&gt;AE2044,AE2042-AE2043,MAX(AE2042-AE2043,(AF$13*AF2041+AF$14*AF2055)*EXP(-$B$12*AF$9))))</f>
        <v>0</v>
      </c>
    </row>
    <row r="2049" spans="14:32">
      <c r="N2049" s="48">
        <f>M2042*N$12</f>
        <v>0.19428328644630571</v>
      </c>
      <c r="P2049" s="48">
        <f>O2056*P$11</f>
        <v>0.19428328644630571</v>
      </c>
      <c r="R2049" s="48">
        <f>Q2056*R$11</f>
        <v>0.19428328644630571</v>
      </c>
      <c r="T2049" s="48">
        <f>S2056*T$11</f>
        <v>0.19428328644630571</v>
      </c>
      <c r="V2049" s="48">
        <f>U2056*V$11</f>
        <v>0.19428328644630571</v>
      </c>
      <c r="X2049" s="48">
        <f>W2056*X$11</f>
        <v>0.19428328644630571</v>
      </c>
      <c r="Z2049" s="48">
        <f>Y2056*Z$11</f>
        <v>0.19428328644630569</v>
      </c>
      <c r="AB2049" s="48">
        <f>AA2056*AB$11</f>
        <v>0.19428328644630569</v>
      </c>
      <c r="AD2049" s="48">
        <f>AC2056*AD$11</f>
        <v>0.19428328644630569</v>
      </c>
      <c r="AF2049" s="48">
        <f>AE2056*AF$11</f>
        <v>0.19428328644630569</v>
      </c>
    </row>
    <row r="2050" spans="14:32">
      <c r="N2050" s="49">
        <f>N$18</f>
        <v>1</v>
      </c>
      <c r="P2050" s="49">
        <f>P$18</f>
        <v>1</v>
      </c>
      <c r="R2050" s="49">
        <f>R$18</f>
        <v>1</v>
      </c>
      <c r="T2050" s="49">
        <f>T$18</f>
        <v>1</v>
      </c>
      <c r="V2050" s="49">
        <f>V$18</f>
        <v>1</v>
      </c>
      <c r="X2050" s="49">
        <f>X$18</f>
        <v>1</v>
      </c>
      <c r="Z2050" s="49">
        <f>Z$18</f>
        <v>1</v>
      </c>
      <c r="AB2050" s="49">
        <f>AB$18</f>
        <v>1</v>
      </c>
      <c r="AD2050" s="49">
        <f>AD$18</f>
        <v>1</v>
      </c>
      <c r="AF2050" s="49">
        <f>AF$18</f>
        <v>1</v>
      </c>
    </row>
    <row r="2051" spans="14:32">
      <c r="N2051" s="48">
        <f>N$19</f>
        <v>0</v>
      </c>
      <c r="P2051" s="48">
        <f>P$19</f>
        <v>0</v>
      </c>
      <c r="R2051" s="48">
        <f>R$19</f>
        <v>0</v>
      </c>
      <c r="T2051" s="48">
        <f>T$19</f>
        <v>0</v>
      </c>
      <c r="V2051" s="48">
        <f>V$19</f>
        <v>0</v>
      </c>
      <c r="X2051" s="48">
        <f>X$19</f>
        <v>0</v>
      </c>
      <c r="Z2051" s="48">
        <f>Z$19</f>
        <v>0</v>
      </c>
      <c r="AB2051" s="48">
        <f>AB$19</f>
        <v>0</v>
      </c>
      <c r="AD2051" s="48">
        <f>AD$19</f>
        <v>0</v>
      </c>
      <c r="AF2051" s="48">
        <f>AF$19</f>
        <v>0</v>
      </c>
    </row>
    <row r="2052" spans="14:32">
      <c r="N2052" s="49"/>
      <c r="P2052" s="49"/>
      <c r="R2052" s="49"/>
      <c r="T2052" s="49"/>
      <c r="V2052" s="49"/>
      <c r="X2052" s="49"/>
      <c r="Z2052" s="49"/>
      <c r="AB2052" s="49"/>
      <c r="AD2052" s="49"/>
      <c r="AF2052" s="49"/>
    </row>
    <row r="2053" spans="14:32">
      <c r="N2053" s="50"/>
      <c r="P2053" s="50"/>
      <c r="R2053" s="50"/>
      <c r="T2053" s="50"/>
      <c r="V2053" s="50"/>
      <c r="X2053" s="50"/>
      <c r="Z2053" s="50"/>
      <c r="AB2053" s="50"/>
      <c r="AD2053" s="50"/>
      <c r="AF2053" s="50"/>
    </row>
    <row r="2054" spans="14:32">
      <c r="N2054" s="51"/>
      <c r="P2054" s="51"/>
      <c r="R2054" s="51"/>
      <c r="T2054" s="51"/>
      <c r="V2054" s="51"/>
      <c r="X2054" s="51"/>
      <c r="Z2054" s="51"/>
      <c r="AB2054" s="51"/>
      <c r="AD2054" s="51"/>
      <c r="AF2054" s="51"/>
    </row>
    <row r="2055" spans="14:32">
      <c r="N2055" s="52">
        <f>IF(N2051=0,MAX(N2049-N2050,(O$13*O2048+O$14*O2062)*EXP(-$B$12*O$9)),IF(N2049&gt;N2051,N2049-N2050,MAX(N2049-N2050,(O$13*O2048+O$14*O2062)*EXP(-$B$12*O$9))))</f>
        <v>2.5276204800969796E-7</v>
      </c>
      <c r="P2055" s="52">
        <f>IF(P2051=0,MAX(P2049-P2050,(Q$13*Q2048+Q$14*Q2062)*EXP(-$B$12*Q$9)),IF(P2049&gt;P2051,P2049-P2050,MAX(P2049-P2050,(Q$13*Q2048+Q$14*Q2062)*EXP(-$B$12*Q$9))))</f>
        <v>0</v>
      </c>
      <c r="R2055" s="52">
        <f>IF(R2051=0,MAX(R2049-R2050,(S$13*S2048+S$14*S2062)*EXP(-$B$12*S$9)),IF(R2049&gt;R2051,R2049-R2050,MAX(R2049-R2050,(S$13*S2048+S$14*S2062)*EXP(-$B$12*S$9))))</f>
        <v>0</v>
      </c>
      <c r="T2055" s="52">
        <f>IF(T2051=0,MAX(T2049-T2050,(U$13*U2048+U$14*U2062)*EXP(-$B$12*U$9)),IF(T2049&gt;T2051,T2049-T2050,MAX(T2049-T2050,(U$13*U2048+U$14*U2062)*EXP(-$B$12*U$9))))</f>
        <v>0</v>
      </c>
      <c r="V2055" s="52">
        <f>IF(V2051=0,MAX(V2049-V2050,(W$13*W2048+W$14*W2062)*EXP(-$B$12*W$9)),IF(V2049&gt;V2051,V2049-V2050,MAX(V2049-V2050,(W$13*W2048+W$14*W2062)*EXP(-$B$12*W$9))))</f>
        <v>0</v>
      </c>
      <c r="X2055" s="52">
        <f>IF(X2051=0,MAX(X2049-X2050,(Y$13*Y2048+Y$14*Y2062)*EXP(-$B$12*Y$9)),IF(X2049&gt;X2051,X2049-X2050,MAX(X2049-X2050,(Y$13*Y2048+Y$14*Y2062)*EXP(-$B$12*Y$9))))</f>
        <v>0</v>
      </c>
      <c r="Z2055" s="52">
        <f>IF(Z2051=0,MAX(Z2049-Z2050,(AA$13*AA2048+AA$14*AA2062)*EXP(-$B$12*AA$9)),IF(Z2049&gt;Z2051,Z2049-Z2050,MAX(Z2049-Z2050,(AA$13*AA2048+AA$14*AA2062)*EXP(-$B$12*AA$9))))</f>
        <v>0</v>
      </c>
      <c r="AB2055" s="52">
        <f>IF(AB2051=0,MAX(AB2049-AB2050,(AC$13*AC2048+AC$14*AC2062)*EXP(-$B$12*AC$9)),IF(AB2049&gt;AB2051,AB2049-AB2050,MAX(AB2049-AB2050,(AC$13*AC2048+AC$14*AC2062)*EXP(-$B$12*AC$9))))</f>
        <v>0</v>
      </c>
      <c r="AD2055" s="52">
        <f>IF(AD2051=0,MAX(AD2049-AD2050,(AE$13*AE2048+AE$14*AE2062)*EXP(-$B$12*AE$9)),IF(AD2049&gt;AD2051,AD2049-AD2050,MAX(AD2049-AD2050,(AE$13*AE2048+AE$14*AE2062)*EXP(-$B$12*AE$9))))</f>
        <v>0</v>
      </c>
      <c r="AF2055" s="52">
        <f>IF(AF2051=0,MAX(AF2049-AF2050,(AG$13*AG2048+AG$14*AG2062)*EXP(-$B$12*AG$9)),IF(AF2049&gt;AF2051,AF2049-AF2050,MAX(AF2049-AF2050,(AG$13*AG2048+AG$14*AG2062)*EXP(-$B$12*AG$9))))</f>
        <v>0</v>
      </c>
    </row>
    <row r="2056" spans="14:32">
      <c r="O2056" s="48">
        <f>N2049*O$12</f>
        <v>0.17652827452822603</v>
      </c>
      <c r="Q2056" s="48">
        <f>P2063*Q$11</f>
        <v>0.17652827452822603</v>
      </c>
      <c r="S2056" s="48">
        <f>R2063*S$11</f>
        <v>0.17652827452822603</v>
      </c>
      <c r="U2056" s="48">
        <f>T2063*U$11</f>
        <v>0.17652827452822603</v>
      </c>
      <c r="W2056" s="48">
        <f>V2063*W$11</f>
        <v>0.17652827452822603</v>
      </c>
      <c r="Y2056" s="48">
        <f>X2063*Y$11</f>
        <v>0.176528274528226</v>
      </c>
      <c r="AA2056" s="48">
        <f>Z2063*AA$11</f>
        <v>0.176528274528226</v>
      </c>
      <c r="AC2056" s="48">
        <f>AB2063*AC$11</f>
        <v>0.176528274528226</v>
      </c>
      <c r="AE2056" s="48">
        <f>AD2063*AE$11</f>
        <v>0.176528274528226</v>
      </c>
    </row>
    <row r="2057" spans="14:32">
      <c r="O2057" s="49">
        <f>O$18</f>
        <v>1</v>
      </c>
      <c r="Q2057" s="49">
        <f>Q$18</f>
        <v>1</v>
      </c>
      <c r="S2057" s="49">
        <f>S$18</f>
        <v>1</v>
      </c>
      <c r="U2057" s="49">
        <f>U$18</f>
        <v>1</v>
      </c>
      <c r="W2057" s="49">
        <f>W$18</f>
        <v>1</v>
      </c>
      <c r="Y2057" s="49">
        <f>Y$18</f>
        <v>1</v>
      </c>
      <c r="AA2057" s="49">
        <f>AA$18</f>
        <v>1</v>
      </c>
      <c r="AC2057" s="49">
        <f>AC$18</f>
        <v>1</v>
      </c>
      <c r="AE2057" s="49">
        <f>AE$18</f>
        <v>1</v>
      </c>
    </row>
    <row r="2058" spans="14:32">
      <c r="O2058" s="48">
        <f>O$19</f>
        <v>0</v>
      </c>
      <c r="Q2058" s="48">
        <f>Q$19</f>
        <v>0</v>
      </c>
      <c r="S2058" s="48">
        <f>S$19</f>
        <v>0</v>
      </c>
      <c r="U2058" s="48">
        <f>U$19</f>
        <v>0</v>
      </c>
      <c r="W2058" s="48">
        <f>W$19</f>
        <v>0</v>
      </c>
      <c r="Y2058" s="48">
        <f>Y$19</f>
        <v>0</v>
      </c>
      <c r="AA2058" s="48">
        <f>AA$19</f>
        <v>0</v>
      </c>
      <c r="AC2058" s="48">
        <f>AC$19</f>
        <v>0</v>
      </c>
      <c r="AE2058" s="48">
        <f>AE$19</f>
        <v>0</v>
      </c>
    </row>
    <row r="2059" spans="14:32">
      <c r="O2059" s="49"/>
      <c r="Q2059" s="49"/>
      <c r="S2059" s="49"/>
      <c r="U2059" s="49"/>
      <c r="W2059" s="49"/>
      <c r="Y2059" s="49"/>
      <c r="AA2059" s="49"/>
      <c r="AC2059" s="49"/>
      <c r="AE2059" s="49"/>
    </row>
    <row r="2060" spans="14:32">
      <c r="O2060" s="50"/>
      <c r="Q2060" s="50"/>
      <c r="S2060" s="50"/>
      <c r="U2060" s="50"/>
      <c r="W2060" s="50"/>
      <c r="Y2060" s="50"/>
      <c r="AA2060" s="50"/>
      <c r="AC2060" s="50"/>
      <c r="AE2060" s="50"/>
    </row>
    <row r="2061" spans="14:32">
      <c r="O2061" s="51"/>
      <c r="Q2061" s="51"/>
      <c r="S2061" s="51"/>
      <c r="U2061" s="51"/>
      <c r="W2061" s="51"/>
      <c r="Y2061" s="51"/>
      <c r="AA2061" s="51"/>
      <c r="AC2061" s="51"/>
      <c r="AE2061" s="51"/>
    </row>
    <row r="2062" spans="14:32">
      <c r="O2062" s="52">
        <f>IF(O2058=0,MAX(O2056-O2057,(P$13*P2055+P$14*P2069)*EXP(-$B$12*P$9)),IF(O2056&gt;O2058,O2056-O2057,MAX(O2056-O2057,(P$13*P2055+P$14*P2069)*EXP(-$B$12*P$9))))</f>
        <v>0</v>
      </c>
      <c r="Q2062" s="52">
        <f>IF(Q2058=0,MAX(Q2056-Q2057,(R$13*R2055+R$14*R2069)*EXP(-$B$12*R$9)),IF(Q2056&gt;Q2058,Q2056-Q2057,MAX(Q2056-Q2057,(R$13*R2055+R$14*R2069)*EXP(-$B$12*R$9))))</f>
        <v>0</v>
      </c>
      <c r="S2062" s="52">
        <f>IF(S2058=0,MAX(S2056-S2057,(T$13*T2055+T$14*T2069)*EXP(-$B$12*T$9)),IF(S2056&gt;S2058,S2056-S2057,MAX(S2056-S2057,(T$13*T2055+T$14*T2069)*EXP(-$B$12*T$9))))</f>
        <v>0</v>
      </c>
      <c r="U2062" s="52">
        <f>IF(U2058=0,MAX(U2056-U2057,(V$13*V2055+V$14*V2069)*EXP(-$B$12*V$9)),IF(U2056&gt;U2058,U2056-U2057,MAX(U2056-U2057,(V$13*V2055+V$14*V2069)*EXP(-$B$12*V$9))))</f>
        <v>0</v>
      </c>
      <c r="W2062" s="52">
        <f>IF(W2058=0,MAX(W2056-W2057,(X$13*X2055+X$14*X2069)*EXP(-$B$12*X$9)),IF(W2056&gt;W2058,W2056-W2057,MAX(W2056-W2057,(X$13*X2055+X$14*X2069)*EXP(-$B$12*X$9))))</f>
        <v>0</v>
      </c>
      <c r="Y2062" s="52">
        <f>IF(Y2058=0,MAX(Y2056-Y2057,(Z$13*Z2055+Z$14*Z2069)*EXP(-$B$12*Z$9)),IF(Y2056&gt;Y2058,Y2056-Y2057,MAX(Y2056-Y2057,(Z$13*Z2055+Z$14*Z2069)*EXP(-$B$12*Z$9))))</f>
        <v>0</v>
      </c>
      <c r="AA2062" s="52">
        <f>IF(AA2058=0,MAX(AA2056-AA2057,(AB$13*AB2055+AB$14*AB2069)*EXP(-$B$12*AB$9)),IF(AA2056&gt;AA2058,AA2056-AA2057,MAX(AA2056-AA2057,(AB$13*AB2055+AB$14*AB2069)*EXP(-$B$12*AB$9))))</f>
        <v>0</v>
      </c>
      <c r="AC2062" s="52">
        <f>IF(AC2058=0,MAX(AC2056-AC2057,(AD$13*AD2055+AD$14*AD2069)*EXP(-$B$12*AD$9)),IF(AC2056&gt;AC2058,AC2056-AC2057,MAX(AC2056-AC2057,(AD$13*AD2055+AD$14*AD2069)*EXP(-$B$12*AD$9))))</f>
        <v>0</v>
      </c>
      <c r="AE2062" s="52">
        <f>IF(AE2058=0,MAX(AE2056-AE2057,(AF$13*AF2055+AF$14*AF2069)*EXP(-$B$12*AF$9)),IF(AE2056&gt;AE2058,AE2056-AE2057,MAX(AE2056-AE2057,(AF$13*AF2055+AF$14*AF2069)*EXP(-$B$12*AF$9))))</f>
        <v>0</v>
      </c>
    </row>
    <row r="2063" spans="14:32">
      <c r="P2063" s="48">
        <f>O2056*P$12</f>
        <v>0.16039584401679902</v>
      </c>
      <c r="R2063" s="48">
        <f>Q2070*R$11</f>
        <v>0.16039584401679902</v>
      </c>
      <c r="T2063" s="48">
        <f>S2070*T$11</f>
        <v>0.16039584401679902</v>
      </c>
      <c r="V2063" s="48">
        <f>U2070*V$11</f>
        <v>0.16039584401679902</v>
      </c>
      <c r="X2063" s="48">
        <f>W2070*X$11</f>
        <v>0.16039584401679899</v>
      </c>
      <c r="Z2063" s="48">
        <f>Y2070*Z$11</f>
        <v>0.16039584401679899</v>
      </c>
      <c r="AB2063" s="48">
        <f>AA2070*AB$11</f>
        <v>0.16039584401679899</v>
      </c>
      <c r="AD2063" s="48">
        <f>AC2070*AD$11</f>
        <v>0.16039584401679899</v>
      </c>
      <c r="AF2063" s="48">
        <f>AE2070*AF$11</f>
        <v>0.16039584401679899</v>
      </c>
    </row>
    <row r="2064" spans="14:32">
      <c r="P2064" s="49">
        <f>P$18</f>
        <v>1</v>
      </c>
      <c r="R2064" s="49">
        <f>R$18</f>
        <v>1</v>
      </c>
      <c r="T2064" s="49">
        <f>T$18</f>
        <v>1</v>
      </c>
      <c r="V2064" s="49">
        <f>V$18</f>
        <v>1</v>
      </c>
      <c r="X2064" s="49">
        <f>X$18</f>
        <v>1</v>
      </c>
      <c r="Z2064" s="49">
        <f>Z$18</f>
        <v>1</v>
      </c>
      <c r="AB2064" s="49">
        <f>AB$18</f>
        <v>1</v>
      </c>
      <c r="AD2064" s="49">
        <f>AD$18</f>
        <v>1</v>
      </c>
      <c r="AF2064" s="49">
        <f>AF$18</f>
        <v>1</v>
      </c>
    </row>
    <row r="2065" spans="16:32">
      <c r="P2065" s="48">
        <f>P$19</f>
        <v>0</v>
      </c>
      <c r="R2065" s="48">
        <f>R$19</f>
        <v>0</v>
      </c>
      <c r="T2065" s="48">
        <f>T$19</f>
        <v>0</v>
      </c>
      <c r="V2065" s="48">
        <f>V$19</f>
        <v>0</v>
      </c>
      <c r="X2065" s="48">
        <f>X$19</f>
        <v>0</v>
      </c>
      <c r="Z2065" s="48">
        <f>Z$19</f>
        <v>0</v>
      </c>
      <c r="AB2065" s="48">
        <f>AB$19</f>
        <v>0</v>
      </c>
      <c r="AD2065" s="48">
        <f>AD$19</f>
        <v>0</v>
      </c>
      <c r="AF2065" s="48">
        <f>AF$19</f>
        <v>0</v>
      </c>
    </row>
    <row r="2066" spans="16:32">
      <c r="P2066" s="49"/>
      <c r="R2066" s="49"/>
      <c r="T2066" s="49"/>
      <c r="V2066" s="49"/>
      <c r="X2066" s="49"/>
      <c r="Z2066" s="49"/>
      <c r="AB2066" s="49"/>
      <c r="AD2066" s="49"/>
      <c r="AF2066" s="49"/>
    </row>
    <row r="2067" spans="16:32">
      <c r="P2067" s="50"/>
      <c r="R2067" s="50"/>
      <c r="T2067" s="50"/>
      <c r="V2067" s="50"/>
      <c r="X2067" s="50"/>
      <c r="Z2067" s="50"/>
      <c r="AB2067" s="50"/>
      <c r="AD2067" s="50"/>
      <c r="AF2067" s="50"/>
    </row>
    <row r="2068" spans="16:32">
      <c r="P2068" s="51"/>
      <c r="R2068" s="51"/>
      <c r="T2068" s="51"/>
      <c r="V2068" s="51"/>
      <c r="X2068" s="51"/>
      <c r="Z2068" s="51"/>
      <c r="AB2068" s="51"/>
      <c r="AD2068" s="51"/>
      <c r="AF2068" s="51"/>
    </row>
    <row r="2069" spans="16:32">
      <c r="P2069" s="52">
        <f>IF(P2065=0,MAX(P2063-P2064,(Q$13*Q2062+Q$14*Q2076)*EXP(-$B$12*Q$9)),IF(P2063&gt;P2065,P2063-P2064,MAX(P2063-P2064,(Q$13*Q2062+Q$14*Q2076)*EXP(-$B$12*Q$9))))</f>
        <v>0</v>
      </c>
      <c r="R2069" s="52">
        <f>IF(R2065=0,MAX(R2063-R2064,(S$13*S2062+S$14*S2076)*EXP(-$B$12*S$9)),IF(R2063&gt;R2065,R2063-R2064,MAX(R2063-R2064,(S$13*S2062+S$14*S2076)*EXP(-$B$12*S$9))))</f>
        <v>0</v>
      </c>
      <c r="T2069" s="52">
        <f>IF(T2065=0,MAX(T2063-T2064,(U$13*U2062+U$14*U2076)*EXP(-$B$12*U$9)),IF(T2063&gt;T2065,T2063-T2064,MAX(T2063-T2064,(U$13*U2062+U$14*U2076)*EXP(-$B$12*U$9))))</f>
        <v>0</v>
      </c>
      <c r="V2069" s="52">
        <f>IF(V2065=0,MAX(V2063-V2064,(W$13*W2062+W$14*W2076)*EXP(-$B$12*W$9)),IF(V2063&gt;V2065,V2063-V2064,MAX(V2063-V2064,(W$13*W2062+W$14*W2076)*EXP(-$B$12*W$9))))</f>
        <v>0</v>
      </c>
      <c r="X2069" s="52">
        <f>IF(X2065=0,MAX(X2063-X2064,(Y$13*Y2062+Y$14*Y2076)*EXP(-$B$12*Y$9)),IF(X2063&gt;X2065,X2063-X2064,MAX(X2063-X2064,(Y$13*Y2062+Y$14*Y2076)*EXP(-$B$12*Y$9))))</f>
        <v>0</v>
      </c>
      <c r="Z2069" s="52">
        <f>IF(Z2065=0,MAX(Z2063-Z2064,(AA$13*AA2062+AA$14*AA2076)*EXP(-$B$12*AA$9)),IF(Z2063&gt;Z2065,Z2063-Z2064,MAX(Z2063-Z2064,(AA$13*AA2062+AA$14*AA2076)*EXP(-$B$12*AA$9))))</f>
        <v>0</v>
      </c>
      <c r="AB2069" s="52">
        <f>IF(AB2065=0,MAX(AB2063-AB2064,(AC$13*AC2062+AC$14*AC2076)*EXP(-$B$12*AC$9)),IF(AB2063&gt;AB2065,AB2063-AB2064,MAX(AB2063-AB2064,(AC$13*AC2062+AC$14*AC2076)*EXP(-$B$12*AC$9))))</f>
        <v>0</v>
      </c>
      <c r="AD2069" s="52">
        <f>IF(AD2065=0,MAX(AD2063-AD2064,(AE$13*AE2062+AE$14*AE2076)*EXP(-$B$12*AE$9)),IF(AD2063&gt;AD2065,AD2063-AD2064,MAX(AD2063-AD2064,(AE$13*AE2062+AE$14*AE2076)*EXP(-$B$12*AE$9))))</f>
        <v>0</v>
      </c>
      <c r="AF2069" s="52">
        <f>IF(AF2065=0,MAX(AF2063-AF2064,(AG$13*AG2062+AG$14*AG2076)*EXP(-$B$12*AG$9)),IF(AF2063&gt;AF2065,AF2063-AF2064,MAX(AF2063-AF2064,(AG$13*AG2062+AG$14*AG2076)*EXP(-$B$12*AG$9))))</f>
        <v>0</v>
      </c>
    </row>
    <row r="2070" spans="16:32">
      <c r="Q2070" s="48">
        <f>P2063*Q$12</f>
        <v>0.14573771168735761</v>
      </c>
      <c r="S2070" s="48">
        <f>R2077*S$11</f>
        <v>0.14573771168735761</v>
      </c>
      <c r="U2070" s="48">
        <f>T2077*U$11</f>
        <v>0.14573771168735761</v>
      </c>
      <c r="W2070" s="48">
        <f>V2077*W$11</f>
        <v>0.14573771168735758</v>
      </c>
      <c r="Y2070" s="48">
        <f>X2077*Y$11</f>
        <v>0.14573771168735758</v>
      </c>
      <c r="AA2070" s="48">
        <f>Z2077*AA$11</f>
        <v>0.14573771168735758</v>
      </c>
      <c r="AC2070" s="48">
        <f>AB2077*AC$11</f>
        <v>0.14573771168735758</v>
      </c>
      <c r="AE2070" s="48">
        <f>AD2077*AE$11</f>
        <v>0.14573771168735758</v>
      </c>
    </row>
    <row r="2071" spans="16:32">
      <c r="Q2071" s="49">
        <f>Q$18</f>
        <v>1</v>
      </c>
      <c r="S2071" s="49">
        <f>S$18</f>
        <v>1</v>
      </c>
      <c r="U2071" s="49">
        <f>U$18</f>
        <v>1</v>
      </c>
      <c r="W2071" s="49">
        <f>W$18</f>
        <v>1</v>
      </c>
      <c r="Y2071" s="49">
        <f>Y$18</f>
        <v>1</v>
      </c>
      <c r="AA2071" s="49">
        <f>AA$18</f>
        <v>1</v>
      </c>
      <c r="AC2071" s="49">
        <f>AC$18</f>
        <v>1</v>
      </c>
      <c r="AE2071" s="49">
        <f>AE$18</f>
        <v>1</v>
      </c>
    </row>
    <row r="2072" spans="16:32">
      <c r="Q2072" s="48">
        <f>Q$19</f>
        <v>0</v>
      </c>
      <c r="S2072" s="48">
        <f>S$19</f>
        <v>0</v>
      </c>
      <c r="U2072" s="48">
        <f>U$19</f>
        <v>0</v>
      </c>
      <c r="W2072" s="48">
        <f>W$19</f>
        <v>0</v>
      </c>
      <c r="Y2072" s="48">
        <f>Y$19</f>
        <v>0</v>
      </c>
      <c r="AA2072" s="48">
        <f>AA$19</f>
        <v>0</v>
      </c>
      <c r="AC2072" s="48">
        <f>AC$19</f>
        <v>0</v>
      </c>
      <c r="AE2072" s="48">
        <f>AE$19</f>
        <v>0</v>
      </c>
    </row>
    <row r="2073" spans="16:32">
      <c r="Q2073" s="49"/>
      <c r="S2073" s="49"/>
      <c r="U2073" s="49"/>
      <c r="W2073" s="49"/>
      <c r="Y2073" s="49"/>
      <c r="AA2073" s="49"/>
      <c r="AC2073" s="49"/>
      <c r="AE2073" s="49"/>
    </row>
    <row r="2074" spans="16:32">
      <c r="Q2074" s="50"/>
      <c r="S2074" s="50"/>
      <c r="U2074" s="50"/>
      <c r="W2074" s="50"/>
      <c r="Y2074" s="50"/>
      <c r="AA2074" s="50"/>
      <c r="AC2074" s="50"/>
      <c r="AE2074" s="50"/>
    </row>
    <row r="2075" spans="16:32">
      <c r="Q2075" s="51"/>
      <c r="S2075" s="51"/>
      <c r="U2075" s="51"/>
      <c r="W2075" s="51"/>
      <c r="Y2075" s="51"/>
      <c r="AA2075" s="51"/>
      <c r="AC2075" s="51"/>
      <c r="AE2075" s="51"/>
    </row>
    <row r="2076" spans="16:32">
      <c r="Q2076" s="52">
        <f>IF(Q2072=0,MAX(Q2070-Q2071,(R$13*R2069+R$14*R2083)*EXP(-$B$12*R$9)),IF(Q2070&gt;Q2072,Q2070-Q2071,MAX(Q2070-Q2071,(R$13*R2069+R$14*R2083)*EXP(-$B$12*R$9))))</f>
        <v>0</v>
      </c>
      <c r="S2076" s="52">
        <f>IF(S2072=0,MAX(S2070-S2071,(T$13*T2069+T$14*T2083)*EXP(-$B$12*T$9)),IF(S2070&gt;S2072,S2070-S2071,MAX(S2070-S2071,(T$13*T2069+T$14*T2083)*EXP(-$B$12*T$9))))</f>
        <v>0</v>
      </c>
      <c r="U2076" s="52">
        <f>IF(U2072=0,MAX(U2070-U2071,(V$13*V2069+V$14*V2083)*EXP(-$B$12*V$9)),IF(U2070&gt;U2072,U2070-U2071,MAX(U2070-U2071,(V$13*V2069+V$14*V2083)*EXP(-$B$12*V$9))))</f>
        <v>0</v>
      </c>
      <c r="W2076" s="52">
        <f>IF(W2072=0,MAX(W2070-W2071,(X$13*X2069+X$14*X2083)*EXP(-$B$12*X$9)),IF(W2070&gt;W2072,W2070-W2071,MAX(W2070-W2071,(X$13*X2069+X$14*X2083)*EXP(-$B$12*X$9))))</f>
        <v>0</v>
      </c>
      <c r="Y2076" s="52">
        <f>IF(Y2072=0,MAX(Y2070-Y2071,(Z$13*Z2069+Z$14*Z2083)*EXP(-$B$12*Z$9)),IF(Y2070&gt;Y2072,Y2070-Y2071,MAX(Y2070-Y2071,(Z$13*Z2069+Z$14*Z2083)*EXP(-$B$12*Z$9))))</f>
        <v>0</v>
      </c>
      <c r="AA2076" s="52">
        <f>IF(AA2072=0,MAX(AA2070-AA2071,(AB$13*AB2069+AB$14*AB2083)*EXP(-$B$12*AB$9)),IF(AA2070&gt;AA2072,AA2070-AA2071,MAX(AA2070-AA2071,(AB$13*AB2069+AB$14*AB2083)*EXP(-$B$12*AB$9))))</f>
        <v>0</v>
      </c>
      <c r="AC2076" s="52">
        <f>IF(AC2072=0,MAX(AC2070-AC2071,(AD$13*AD2069+AD$14*AD2083)*EXP(-$B$12*AD$9)),IF(AC2070&gt;AC2072,AC2070-AC2071,MAX(AC2070-AC2071,(AD$13*AD2069+AD$14*AD2083)*EXP(-$B$12*AD$9))))</f>
        <v>0</v>
      </c>
      <c r="AE2076" s="52">
        <f>IF(AE2072=0,MAX(AE2070-AE2071,(AF$13*AF2069+AF$14*AF2083)*EXP(-$B$12*AF$9)),IF(AE2070&gt;AE2072,AE2070-AE2071,MAX(AE2070-AE2071,(AF$13*AF2069+AF$14*AF2083)*EXP(-$B$12*AF$9))))</f>
        <v>0</v>
      </c>
    </row>
    <row r="2077" spans="16:32">
      <c r="R2077" s="48">
        <f>Q2070*R$12</f>
        <v>0.13241914550880046</v>
      </c>
      <c r="T2077" s="48">
        <f>S2084*T$11</f>
        <v>0.13241914550880046</v>
      </c>
      <c r="V2077" s="48">
        <f>U2084*V$11</f>
        <v>0.13241914550880043</v>
      </c>
      <c r="X2077" s="48">
        <f>W2084*X$11</f>
        <v>0.13241914550880043</v>
      </c>
      <c r="Z2077" s="48">
        <f>Y2084*Z$11</f>
        <v>0.13241914550880043</v>
      </c>
      <c r="AB2077" s="48">
        <f>AA2084*AB$11</f>
        <v>0.13241914550880043</v>
      </c>
      <c r="AD2077" s="48">
        <f>AC2084*AD$11</f>
        <v>0.13241914550880043</v>
      </c>
      <c r="AF2077" s="48">
        <f>AE2084*AF$11</f>
        <v>0.13241914550880043</v>
      </c>
    </row>
    <row r="2078" spans="16:32">
      <c r="R2078" s="49">
        <f>R$18</f>
        <v>1</v>
      </c>
      <c r="T2078" s="49">
        <f>T$18</f>
        <v>1</v>
      </c>
      <c r="V2078" s="49">
        <f>V$18</f>
        <v>1</v>
      </c>
      <c r="X2078" s="49">
        <f>X$18</f>
        <v>1</v>
      </c>
      <c r="Z2078" s="49">
        <f>Z$18</f>
        <v>1</v>
      </c>
      <c r="AB2078" s="49">
        <f>AB$18</f>
        <v>1</v>
      </c>
      <c r="AD2078" s="49">
        <f>AD$18</f>
        <v>1</v>
      </c>
      <c r="AF2078" s="49">
        <f>AF$18</f>
        <v>1</v>
      </c>
    </row>
    <row r="2079" spans="16:32">
      <c r="R2079" s="48">
        <f>R$19</f>
        <v>0</v>
      </c>
      <c r="T2079" s="48">
        <f>T$19</f>
        <v>0</v>
      </c>
      <c r="V2079" s="48">
        <f>V$19</f>
        <v>0</v>
      </c>
      <c r="X2079" s="48">
        <f>X$19</f>
        <v>0</v>
      </c>
      <c r="Z2079" s="48">
        <f>Z$19</f>
        <v>0</v>
      </c>
      <c r="AB2079" s="48">
        <f>AB$19</f>
        <v>0</v>
      </c>
      <c r="AD2079" s="48">
        <f>AD$19</f>
        <v>0</v>
      </c>
      <c r="AF2079" s="48">
        <f>AF$19</f>
        <v>0</v>
      </c>
    </row>
    <row r="2080" spans="16:32">
      <c r="R2080" s="49"/>
      <c r="T2080" s="49"/>
      <c r="V2080" s="49"/>
      <c r="X2080" s="49"/>
      <c r="Z2080" s="49"/>
      <c r="AB2080" s="49"/>
      <c r="AD2080" s="49"/>
      <c r="AF2080" s="49"/>
    </row>
    <row r="2081" spans="18:32">
      <c r="R2081" s="50"/>
      <c r="T2081" s="50"/>
      <c r="V2081" s="50"/>
      <c r="X2081" s="50"/>
      <c r="Z2081" s="50"/>
      <c r="AB2081" s="50"/>
      <c r="AD2081" s="50"/>
      <c r="AF2081" s="50"/>
    </row>
    <row r="2082" spans="18:32">
      <c r="R2082" s="51"/>
      <c r="T2082" s="51"/>
      <c r="V2082" s="51"/>
      <c r="X2082" s="51"/>
      <c r="Z2082" s="51"/>
      <c r="AB2082" s="51"/>
      <c r="AD2082" s="51"/>
      <c r="AF2082" s="51"/>
    </row>
    <row r="2083" spans="18:32">
      <c r="R2083" s="52">
        <f>IF(R2079=0,MAX(R2077-R2078,(S$13*S2076+S$14*S2090)*EXP(-$B$12*S$9)),IF(R2077&gt;R2079,R2077-R2078,MAX(R2077-R2078,(S$13*S2076+S$14*S2090)*EXP(-$B$12*S$9))))</f>
        <v>0</v>
      </c>
      <c r="T2083" s="52">
        <f>IF(T2079=0,MAX(T2077-T2078,(U$13*U2076+U$14*U2090)*EXP(-$B$12*U$9)),IF(T2077&gt;T2079,T2077-T2078,MAX(T2077-T2078,(U$13*U2076+U$14*U2090)*EXP(-$B$12*U$9))))</f>
        <v>0</v>
      </c>
      <c r="V2083" s="52">
        <f>IF(V2079=0,MAX(V2077-V2078,(W$13*W2076+W$14*W2090)*EXP(-$B$12*W$9)),IF(V2077&gt;V2079,V2077-V2078,MAX(V2077-V2078,(W$13*W2076+W$14*W2090)*EXP(-$B$12*W$9))))</f>
        <v>0</v>
      </c>
      <c r="X2083" s="52">
        <f>IF(X2079=0,MAX(X2077-X2078,(Y$13*Y2076+Y$14*Y2090)*EXP(-$B$12*Y$9)),IF(X2077&gt;X2079,X2077-X2078,MAX(X2077-X2078,(Y$13*Y2076+Y$14*Y2090)*EXP(-$B$12*Y$9))))</f>
        <v>0</v>
      </c>
      <c r="Z2083" s="52">
        <f>IF(Z2079=0,MAX(Z2077-Z2078,(AA$13*AA2076+AA$14*AA2090)*EXP(-$B$12*AA$9)),IF(Z2077&gt;Z2079,Z2077-Z2078,MAX(Z2077-Z2078,(AA$13*AA2076+AA$14*AA2090)*EXP(-$B$12*AA$9))))</f>
        <v>0</v>
      </c>
      <c r="AB2083" s="52">
        <f>IF(AB2079=0,MAX(AB2077-AB2078,(AC$13*AC2076+AC$14*AC2090)*EXP(-$B$12*AC$9)),IF(AB2077&gt;AB2079,AB2077-AB2078,MAX(AB2077-AB2078,(AC$13*AC2076+AC$14*AC2090)*EXP(-$B$12*AC$9))))</f>
        <v>0</v>
      </c>
      <c r="AD2083" s="52">
        <f>IF(AD2079=0,MAX(AD2077-AD2078,(AE$13*AE2076+AE$14*AE2090)*EXP(-$B$12*AE$9)),IF(AD2077&gt;AD2079,AD2077-AD2078,MAX(AD2077-AD2078,(AE$13*AE2076+AE$14*AE2090)*EXP(-$B$12*AE$9))))</f>
        <v>0</v>
      </c>
      <c r="AF2083" s="52">
        <f>IF(AF2079=0,MAX(AF2077-AF2078,(AG$13*AG2076+AG$14*AG2090)*EXP(-$B$12*AG$9)),IF(AF2077&gt;AF2079,AF2077-AF2078,MAX(AF2077-AF2078,(AG$13*AG2076+AG$14*AG2090)*EXP(-$B$12*AG$9))))</f>
        <v>0</v>
      </c>
    </row>
    <row r="2084" spans="18:32">
      <c r="S2084" s="48">
        <f>R2077*S$12</f>
        <v>0.12031772623751148</v>
      </c>
      <c r="U2084" s="48">
        <f>T2091*U$11</f>
        <v>0.12031772623751147</v>
      </c>
      <c r="W2084" s="48">
        <f>V2091*W$11</f>
        <v>0.12031772623751145</v>
      </c>
      <c r="Y2084" s="48">
        <f>X2091*Y$11</f>
        <v>0.12031772623751145</v>
      </c>
      <c r="AA2084" s="48">
        <f>Z2091*AA$11</f>
        <v>0.12031772623751145</v>
      </c>
      <c r="AC2084" s="48">
        <f>AB2091*AC$11</f>
        <v>0.12031772623751145</v>
      </c>
      <c r="AE2084" s="48">
        <f>AD2091*AE$11</f>
        <v>0.12031772623751145</v>
      </c>
    </row>
    <row r="2085" spans="18:32">
      <c r="S2085" s="49">
        <f>S$18</f>
        <v>1</v>
      </c>
      <c r="U2085" s="49">
        <f>U$18</f>
        <v>1</v>
      </c>
      <c r="W2085" s="49">
        <f>W$18</f>
        <v>1</v>
      </c>
      <c r="Y2085" s="49">
        <f>Y$18</f>
        <v>1</v>
      </c>
      <c r="AA2085" s="49">
        <f>AA$18</f>
        <v>1</v>
      </c>
      <c r="AC2085" s="49">
        <f>AC$18</f>
        <v>1</v>
      </c>
      <c r="AE2085" s="49">
        <f>AE$18</f>
        <v>1</v>
      </c>
    </row>
    <row r="2086" spans="18:32">
      <c r="S2086" s="48">
        <f>S$19</f>
        <v>0</v>
      </c>
      <c r="U2086" s="48">
        <f>U$19</f>
        <v>0</v>
      </c>
      <c r="W2086" s="48">
        <f>W$19</f>
        <v>0</v>
      </c>
      <c r="Y2086" s="48">
        <f>Y$19</f>
        <v>0</v>
      </c>
      <c r="AA2086" s="48">
        <f>AA$19</f>
        <v>0</v>
      </c>
      <c r="AC2086" s="48">
        <f>AC$19</f>
        <v>0</v>
      </c>
      <c r="AE2086" s="48">
        <f>AE$19</f>
        <v>0</v>
      </c>
    </row>
    <row r="2087" spans="18:32">
      <c r="S2087" s="49"/>
      <c r="U2087" s="49"/>
      <c r="W2087" s="49"/>
      <c r="Y2087" s="49"/>
      <c r="AA2087" s="49"/>
      <c r="AC2087" s="49"/>
      <c r="AE2087" s="49"/>
    </row>
    <row r="2088" spans="18:32">
      <c r="S2088" s="50"/>
      <c r="U2088" s="50"/>
      <c r="W2088" s="50"/>
      <c r="Y2088" s="50"/>
      <c r="AA2088" s="50"/>
      <c r="AC2088" s="50"/>
      <c r="AE2088" s="50"/>
    </row>
    <row r="2089" spans="18:32">
      <c r="S2089" s="51"/>
      <c r="U2089" s="51"/>
      <c r="W2089" s="51"/>
      <c r="Y2089" s="51"/>
      <c r="AA2089" s="51"/>
      <c r="AC2089" s="51"/>
      <c r="AE2089" s="51"/>
    </row>
    <row r="2090" spans="18:32">
      <c r="S2090" s="52">
        <f>IF(S2086=0,MAX(S2084-S2085,(T$13*T2083+T$14*T2097)*EXP(-$B$12*T$9)),IF(S2084&gt;S2086,S2084-S2085,MAX(S2084-S2085,(T$13*T2083+T$14*T2097)*EXP(-$B$12*T$9))))</f>
        <v>0</v>
      </c>
      <c r="U2090" s="52">
        <f>IF(U2086=0,MAX(U2084-U2085,(V$13*V2083+V$14*V2097)*EXP(-$B$12*V$9)),IF(U2084&gt;U2086,U2084-U2085,MAX(U2084-U2085,(V$13*V2083+V$14*V2097)*EXP(-$B$12*V$9))))</f>
        <v>0</v>
      </c>
      <c r="W2090" s="52">
        <f>IF(W2086=0,MAX(W2084-W2085,(X$13*X2083+X$14*X2097)*EXP(-$B$12*X$9)),IF(W2084&gt;W2086,W2084-W2085,MAX(W2084-W2085,(X$13*X2083+X$14*X2097)*EXP(-$B$12*X$9))))</f>
        <v>0</v>
      </c>
      <c r="Y2090" s="52">
        <f>IF(Y2086=0,MAX(Y2084-Y2085,(Z$13*Z2083+Z$14*Z2097)*EXP(-$B$12*Z$9)),IF(Y2084&gt;Y2086,Y2084-Y2085,MAX(Y2084-Y2085,(Z$13*Z2083+Z$14*Z2097)*EXP(-$B$12*Z$9))))</f>
        <v>0</v>
      </c>
      <c r="AA2090" s="52">
        <f>IF(AA2086=0,MAX(AA2084-AA2085,(AB$13*AB2083+AB$14*AB2097)*EXP(-$B$12*AB$9)),IF(AA2084&gt;AA2086,AA2084-AA2085,MAX(AA2084-AA2085,(AB$13*AB2083+AB$14*AB2097)*EXP(-$B$12*AB$9))))</f>
        <v>0</v>
      </c>
      <c r="AC2090" s="52">
        <f>IF(AC2086=0,MAX(AC2084-AC2085,(AD$13*AD2083+AD$14*AD2097)*EXP(-$B$12*AD$9)),IF(AC2084&gt;AC2086,AC2084-AC2085,MAX(AC2084-AC2085,(AD$13*AD2083+AD$14*AD2097)*EXP(-$B$12*AD$9))))</f>
        <v>0</v>
      </c>
      <c r="AE2090" s="52">
        <f>IF(AE2086=0,MAX(AE2084-AE2085,(AF$13*AF2083+AF$14*AF2097)*EXP(-$B$12*AF$9)),IF(AE2084&gt;AE2086,AE2084-AE2085,MAX(AE2084-AE2085,(AF$13*AF2083+AF$14*AF2097)*EXP(-$B$12*AF$9))))</f>
        <v>0</v>
      </c>
    </row>
    <row r="2091" spans="18:32">
      <c r="T2091" s="48">
        <f>S2084*T$12</f>
        <v>0.10932222218578409</v>
      </c>
      <c r="V2091" s="48">
        <f>U2098*V$11</f>
        <v>0.10932222218578408</v>
      </c>
      <c r="X2091" s="48">
        <f>W2098*X$11</f>
        <v>0.10932222218578408</v>
      </c>
      <c r="Z2091" s="48">
        <f>Y2098*Z$11</f>
        <v>0.10932222218578408</v>
      </c>
      <c r="AB2091" s="48">
        <f>AA2098*AB$11</f>
        <v>0.10932222218578408</v>
      </c>
      <c r="AD2091" s="48">
        <f>AC2098*AD$11</f>
        <v>0.10932222218578408</v>
      </c>
      <c r="AF2091" s="48">
        <f>AE2098*AF$11</f>
        <v>0.10932222218578408</v>
      </c>
    </row>
    <row r="2092" spans="18:32">
      <c r="T2092" s="49">
        <f>T$18</f>
        <v>1</v>
      </c>
      <c r="V2092" s="49">
        <f>V$18</f>
        <v>1</v>
      </c>
      <c r="X2092" s="49">
        <f>X$18</f>
        <v>1</v>
      </c>
      <c r="Z2092" s="49">
        <f>Z$18</f>
        <v>1</v>
      </c>
      <c r="AB2092" s="49">
        <f>AB$18</f>
        <v>1</v>
      </c>
      <c r="AD2092" s="49">
        <f>AD$18</f>
        <v>1</v>
      </c>
      <c r="AF2092" s="49">
        <f>AF$18</f>
        <v>1</v>
      </c>
    </row>
    <row r="2093" spans="18:32">
      <c r="T2093" s="48">
        <f>T$19</f>
        <v>0</v>
      </c>
      <c r="V2093" s="48">
        <f>V$19</f>
        <v>0</v>
      </c>
      <c r="X2093" s="48">
        <f>X$19</f>
        <v>0</v>
      </c>
      <c r="Z2093" s="48">
        <f>Z$19</f>
        <v>0</v>
      </c>
      <c r="AB2093" s="48">
        <f>AB$19</f>
        <v>0</v>
      </c>
      <c r="AD2093" s="48">
        <f>AD$19</f>
        <v>0</v>
      </c>
      <c r="AF2093" s="48">
        <f>AF$19</f>
        <v>0</v>
      </c>
    </row>
    <row r="2094" spans="18:32">
      <c r="T2094" s="49"/>
      <c r="V2094" s="49"/>
      <c r="X2094" s="49"/>
      <c r="Z2094" s="49"/>
      <c r="AB2094" s="49"/>
      <c r="AD2094" s="49"/>
      <c r="AF2094" s="49"/>
    </row>
    <row r="2095" spans="18:32">
      <c r="T2095" s="50"/>
      <c r="V2095" s="50"/>
      <c r="X2095" s="50"/>
      <c r="Z2095" s="50"/>
      <c r="AB2095" s="50"/>
      <c r="AD2095" s="50"/>
      <c r="AF2095" s="50"/>
    </row>
    <row r="2096" spans="18:32">
      <c r="T2096" s="51"/>
      <c r="V2096" s="51"/>
      <c r="X2096" s="51"/>
      <c r="Z2096" s="51"/>
      <c r="AB2096" s="51"/>
      <c r="AD2096" s="51"/>
      <c r="AF2096" s="51"/>
    </row>
    <row r="2097" spans="20:32">
      <c r="T2097" s="52">
        <f>IF(T2093=0,MAX(T2091-T2092,(U$13*U2090+U$14*U2104)*EXP(-$B$12*U$9)),IF(T2091&gt;T2093,T2091-T2092,MAX(T2091-T2092,(U$13*U2090+U$14*U2104)*EXP(-$B$12*U$9))))</f>
        <v>0</v>
      </c>
      <c r="V2097" s="52">
        <f>IF(V2093=0,MAX(V2091-V2092,(W$13*W2090+W$14*W2104)*EXP(-$B$12*W$9)),IF(V2091&gt;V2093,V2091-V2092,MAX(V2091-V2092,(W$13*W2090+W$14*W2104)*EXP(-$B$12*W$9))))</f>
        <v>0</v>
      </c>
      <c r="X2097" s="52">
        <f>IF(X2093=0,MAX(X2091-X2092,(Y$13*Y2090+Y$14*Y2104)*EXP(-$B$12*Y$9)),IF(X2091&gt;X2093,X2091-X2092,MAX(X2091-X2092,(Y$13*Y2090+Y$14*Y2104)*EXP(-$B$12*Y$9))))</f>
        <v>0</v>
      </c>
      <c r="Z2097" s="52">
        <f>IF(Z2093=0,MAX(Z2091-Z2092,(AA$13*AA2090+AA$14*AA2104)*EXP(-$B$12*AA$9)),IF(Z2091&gt;Z2093,Z2091-Z2092,MAX(Z2091-Z2092,(AA$13*AA2090+AA$14*AA2104)*EXP(-$B$12*AA$9))))</f>
        <v>0</v>
      </c>
      <c r="AB2097" s="52">
        <f>IF(AB2093=0,MAX(AB2091-AB2092,(AC$13*AC2090+AC$14*AC2104)*EXP(-$B$12*AC$9)),IF(AB2091&gt;AB2093,AB2091-AB2092,MAX(AB2091-AB2092,(AC$13*AC2090+AC$14*AC2104)*EXP(-$B$12*AC$9))))</f>
        <v>0</v>
      </c>
      <c r="AD2097" s="52">
        <f>IF(AD2093=0,MAX(AD2091-AD2092,(AE$13*AE2090+AE$14*AE2104)*EXP(-$B$12*AE$9)),IF(AD2091&gt;AD2093,AD2091-AD2092,MAX(AD2091-AD2092,(AE$13*AE2090+AE$14*AE2104)*EXP(-$B$12*AE$9))))</f>
        <v>0</v>
      </c>
      <c r="AF2097" s="52">
        <f>IF(AF2093=0,MAX(AF2091-AF2092,(AG$13*AG2090+AG$14*AG2104)*EXP(-$B$12*AG$9)),IF(AF2091&gt;AF2093,AF2091-AF2092,MAX(AF2091-AF2092,(AG$13*AG2090+AG$14*AG2104)*EXP(-$B$12*AG$9))))</f>
        <v>0</v>
      </c>
    </row>
    <row r="2098" spans="20:32">
      <c r="U2098" s="48">
        <f>T2091*U$12</f>
        <v>9.9331566822045456E-2</v>
      </c>
      <c r="W2098" s="48">
        <f>V2105*W$11</f>
        <v>9.9331566822045456E-2</v>
      </c>
      <c r="Y2098" s="48">
        <f>X2105*Y$11</f>
        <v>9.9331566822045456E-2</v>
      </c>
      <c r="AA2098" s="48">
        <f>Z2105*AA$11</f>
        <v>9.9331566822045456E-2</v>
      </c>
      <c r="AC2098" s="48">
        <f>AB2105*AC$11</f>
        <v>9.9331566822045456E-2</v>
      </c>
      <c r="AE2098" s="48">
        <f>AD2105*AE$11</f>
        <v>9.9331566822045456E-2</v>
      </c>
    </row>
    <row r="2099" spans="20:32">
      <c r="U2099" s="49">
        <f>U$18</f>
        <v>1</v>
      </c>
      <c r="W2099" s="49">
        <f>W$18</f>
        <v>1</v>
      </c>
      <c r="Y2099" s="49">
        <f>Y$18</f>
        <v>1</v>
      </c>
      <c r="AA2099" s="49">
        <f>AA$18</f>
        <v>1</v>
      </c>
      <c r="AC2099" s="49">
        <f>AC$18</f>
        <v>1</v>
      </c>
      <c r="AE2099" s="49">
        <f>AE$18</f>
        <v>1</v>
      </c>
    </row>
    <row r="2100" spans="20:32">
      <c r="U2100" s="48">
        <f>U$19</f>
        <v>0</v>
      </c>
      <c r="W2100" s="48">
        <f>W$19</f>
        <v>0</v>
      </c>
      <c r="Y2100" s="48">
        <f>Y$19</f>
        <v>0</v>
      </c>
      <c r="AA2100" s="48">
        <f>AA$19</f>
        <v>0</v>
      </c>
      <c r="AC2100" s="48">
        <f>AC$19</f>
        <v>0</v>
      </c>
      <c r="AE2100" s="48">
        <f>AE$19</f>
        <v>0</v>
      </c>
    </row>
    <row r="2101" spans="20:32">
      <c r="U2101" s="49"/>
      <c r="W2101" s="49"/>
      <c r="Y2101" s="49"/>
      <c r="AA2101" s="49"/>
      <c r="AC2101" s="49"/>
      <c r="AE2101" s="49"/>
    </row>
    <row r="2102" spans="20:32">
      <c r="U2102" s="50"/>
      <c r="W2102" s="50"/>
      <c r="Y2102" s="50"/>
      <c r="AA2102" s="50"/>
      <c r="AC2102" s="50"/>
      <c r="AE2102" s="50"/>
    </row>
    <row r="2103" spans="20:32">
      <c r="U2103" s="51"/>
      <c r="W2103" s="51"/>
      <c r="Y2103" s="51"/>
      <c r="AA2103" s="51"/>
      <c r="AC2103" s="51"/>
      <c r="AE2103" s="51"/>
    </row>
    <row r="2104" spans="20:32">
      <c r="U2104" s="52">
        <f>IF(U2100=0,MAX(U2098-U2099,(V$13*V2097+V$14*V2111)*EXP(-$B$12*V$9)),IF(U2098&gt;U2100,U2098-U2099,MAX(U2098-U2099,(V$13*V2097+V$14*V2111)*EXP(-$B$12*V$9))))</f>
        <v>0</v>
      </c>
      <c r="W2104" s="52">
        <f>IF(W2100=0,MAX(W2098-W2099,(X$13*X2097+X$14*X2111)*EXP(-$B$12*X$9)),IF(W2098&gt;W2100,W2098-W2099,MAX(W2098-W2099,(X$13*X2097+X$14*X2111)*EXP(-$B$12*X$9))))</f>
        <v>0</v>
      </c>
      <c r="Y2104" s="52">
        <f>IF(Y2100=0,MAX(Y2098-Y2099,(Z$13*Z2097+Z$14*Z2111)*EXP(-$B$12*Z$9)),IF(Y2098&gt;Y2100,Y2098-Y2099,MAX(Y2098-Y2099,(Z$13*Z2097+Z$14*Z2111)*EXP(-$B$12*Z$9))))</f>
        <v>0</v>
      </c>
      <c r="AA2104" s="52">
        <f>IF(AA2100=0,MAX(AA2098-AA2099,(AB$13*AB2097+AB$14*AB2111)*EXP(-$B$12*AB$9)),IF(AA2098&gt;AA2100,AA2098-AA2099,MAX(AA2098-AA2099,(AB$13*AB2097+AB$14*AB2111)*EXP(-$B$12*AB$9))))</f>
        <v>0</v>
      </c>
      <c r="AC2104" s="52">
        <f>IF(AC2100=0,MAX(AC2098-AC2099,(AD$13*AD2097+AD$14*AD2111)*EXP(-$B$12*AD$9)),IF(AC2098&gt;AC2100,AC2098-AC2099,MAX(AC2098-AC2099,(AD$13*AD2097+AD$14*AD2111)*EXP(-$B$12*AD$9))))</f>
        <v>0</v>
      </c>
      <c r="AE2104" s="52">
        <f>IF(AE2100=0,MAX(AE2098-AE2099,(AF$13*AF2097+AF$14*AF2111)*EXP(-$B$12*AF$9)),IF(AE2098&gt;AE2100,AE2098-AE2099,MAX(AE2098-AE2099,(AF$13*AF2097+AF$14*AF2111)*EXP(-$B$12*AF$9))))</f>
        <v>0</v>
      </c>
    </row>
    <row r="2105" spans="20:32">
      <c r="V2105" s="48">
        <f>U2098*V$12</f>
        <v>9.0253929805366909E-2</v>
      </c>
      <c r="X2105" s="48">
        <f>W2112*X$11</f>
        <v>9.0253929805366909E-2</v>
      </c>
      <c r="Z2105" s="48">
        <f>Y2112*Z$11</f>
        <v>9.0253929805366909E-2</v>
      </c>
      <c r="AB2105" s="48">
        <f>AA2112*AB$11</f>
        <v>9.0253929805366909E-2</v>
      </c>
      <c r="AD2105" s="48">
        <f>AC2112*AD$11</f>
        <v>9.0253929805366909E-2</v>
      </c>
      <c r="AF2105" s="48">
        <f>AE2112*AF$11</f>
        <v>9.0253929805366909E-2</v>
      </c>
    </row>
    <row r="2106" spans="20:32">
      <c r="V2106" s="49">
        <f>V$18</f>
        <v>1</v>
      </c>
      <c r="X2106" s="49">
        <f>X$18</f>
        <v>1</v>
      </c>
      <c r="Z2106" s="49">
        <f>Z$18</f>
        <v>1</v>
      </c>
      <c r="AB2106" s="49">
        <f>AB$18</f>
        <v>1</v>
      </c>
      <c r="AD2106" s="49">
        <f>AD$18</f>
        <v>1</v>
      </c>
      <c r="AF2106" s="49">
        <f>AF$18</f>
        <v>1</v>
      </c>
    </row>
    <row r="2107" spans="20:32">
      <c r="V2107" s="48">
        <f>V$19</f>
        <v>0</v>
      </c>
      <c r="X2107" s="48">
        <f>X$19</f>
        <v>0</v>
      </c>
      <c r="Z2107" s="48">
        <f>Z$19</f>
        <v>0</v>
      </c>
      <c r="AB2107" s="48">
        <f>AB$19</f>
        <v>0</v>
      </c>
      <c r="AD2107" s="48">
        <f>AD$19</f>
        <v>0</v>
      </c>
      <c r="AF2107" s="48">
        <f>AF$19</f>
        <v>0</v>
      </c>
    </row>
    <row r="2108" spans="20:32">
      <c r="V2108" s="49"/>
      <c r="X2108" s="49"/>
      <c r="Z2108" s="49"/>
      <c r="AB2108" s="49"/>
      <c r="AD2108" s="49"/>
      <c r="AF2108" s="49"/>
    </row>
    <row r="2109" spans="20:32">
      <c r="V2109" s="50"/>
      <c r="X2109" s="50"/>
      <c r="Z2109" s="50"/>
      <c r="AB2109" s="50"/>
      <c r="AD2109" s="50"/>
      <c r="AF2109" s="50"/>
    </row>
    <row r="2110" spans="20:32">
      <c r="V2110" s="51"/>
      <c r="X2110" s="51"/>
      <c r="Z2110" s="51"/>
      <c r="AB2110" s="51"/>
      <c r="AD2110" s="51"/>
      <c r="AF2110" s="51"/>
    </row>
    <row r="2111" spans="20:32">
      <c r="V2111" s="52">
        <f>IF(V2107=0,MAX(V2105-V2106,(W$13*W2104+W$14*W2118)*EXP(-$B$12*W$9)),IF(V2105&gt;V2107,V2105-V2106,MAX(V2105-V2106,(W$13*W2104+W$14*W2118)*EXP(-$B$12*W$9))))</f>
        <v>0</v>
      </c>
      <c r="X2111" s="52">
        <f>IF(X2107=0,MAX(X2105-X2106,(Y$13*Y2104+Y$14*Y2118)*EXP(-$B$12*Y$9)),IF(X2105&gt;X2107,X2105-X2106,MAX(X2105-X2106,(Y$13*Y2104+Y$14*Y2118)*EXP(-$B$12*Y$9))))</f>
        <v>0</v>
      </c>
      <c r="Z2111" s="52">
        <f>IF(Z2107=0,MAX(Z2105-Z2106,(AA$13*AA2104+AA$14*AA2118)*EXP(-$B$12*AA$9)),IF(Z2105&gt;Z2107,Z2105-Z2106,MAX(Z2105-Z2106,(AA$13*AA2104+AA$14*AA2118)*EXP(-$B$12*AA$9))))</f>
        <v>0</v>
      </c>
      <c r="AB2111" s="52">
        <f>IF(AB2107=0,MAX(AB2105-AB2106,(AC$13*AC2104+AC$14*AC2118)*EXP(-$B$12*AC$9)),IF(AB2105&gt;AB2107,AB2105-AB2106,MAX(AB2105-AB2106,(AC$13*AC2104+AC$14*AC2118)*EXP(-$B$12*AC$9))))</f>
        <v>0</v>
      </c>
      <c r="AD2111" s="52">
        <f>IF(AD2107=0,MAX(AD2105-AD2106,(AE$13*AE2104+AE$14*AE2118)*EXP(-$B$12*AE$9)),IF(AD2105&gt;AD2107,AD2105-AD2106,MAX(AD2105-AD2106,(AE$13*AE2104+AE$14*AE2118)*EXP(-$B$12*AE$9))))</f>
        <v>0</v>
      </c>
      <c r="AF2111" s="52">
        <f>IF(AF2107=0,MAX(AF2105-AF2106,(AG$13*AG2104+AG$14*AG2118)*EXP(-$B$12*AG$9)),IF(AF2105&gt;AF2107,AF2105-AF2106,MAX(AF2105-AF2106,(AG$13*AG2104+AG$14*AG2118)*EXP(-$B$12*AG$9))))</f>
        <v>0</v>
      </c>
    </row>
    <row r="2112" spans="20:32">
      <c r="W2112" s="48">
        <f>V2105*W$12</f>
        <v>8.2005872915559816E-2</v>
      </c>
      <c r="Y2112" s="48">
        <f>X2119*Y$11</f>
        <v>8.2005872915559816E-2</v>
      </c>
      <c r="AA2112" s="48">
        <f>Z2119*AA$11</f>
        <v>8.2005872915559816E-2</v>
      </c>
      <c r="AC2112" s="48">
        <f>AB2119*AC$11</f>
        <v>8.2005872915559816E-2</v>
      </c>
      <c r="AE2112" s="48">
        <f>AD2119*AE$11</f>
        <v>8.2005872915559816E-2</v>
      </c>
    </row>
    <row r="2113" spans="23:32">
      <c r="W2113" s="49">
        <f>W$18</f>
        <v>1</v>
      </c>
      <c r="Y2113" s="49">
        <f>Y$18</f>
        <v>1</v>
      </c>
      <c r="AA2113" s="49">
        <f>AA$18</f>
        <v>1</v>
      </c>
      <c r="AC2113" s="49">
        <f>AC$18</f>
        <v>1</v>
      </c>
      <c r="AE2113" s="49">
        <f>AE$18</f>
        <v>1</v>
      </c>
    </row>
    <row r="2114" spans="23:32">
      <c r="W2114" s="48">
        <f>W$19</f>
        <v>0</v>
      </c>
      <c r="Y2114" s="48">
        <f>Y$19</f>
        <v>0</v>
      </c>
      <c r="AA2114" s="48">
        <f>AA$19</f>
        <v>0</v>
      </c>
      <c r="AC2114" s="48">
        <f>AC$19</f>
        <v>0</v>
      </c>
      <c r="AE2114" s="48">
        <f>AE$19</f>
        <v>0</v>
      </c>
    </row>
    <row r="2115" spans="23:32">
      <c r="W2115" s="49"/>
      <c r="Y2115" s="49"/>
      <c r="AA2115" s="49"/>
      <c r="AC2115" s="49"/>
      <c r="AE2115" s="49"/>
    </row>
    <row r="2116" spans="23:32">
      <c r="W2116" s="50"/>
      <c r="Y2116" s="50"/>
      <c r="AA2116" s="50"/>
      <c r="AC2116" s="50"/>
      <c r="AE2116" s="50"/>
    </row>
    <row r="2117" spans="23:32">
      <c r="W2117" s="51"/>
      <c r="Y2117" s="51"/>
      <c r="AA2117" s="51"/>
      <c r="AC2117" s="51"/>
      <c r="AE2117" s="51"/>
    </row>
    <row r="2118" spans="23:32">
      <c r="W2118" s="52">
        <f>IF(W2114=0,MAX(W2112-W2113,(X$13*X2111+X$14*X2125)*EXP(-$B$12*X$9)),IF(W2112&gt;W2114,W2112-W2113,MAX(W2112-W2113,(X$13*X2111+X$14*X2125)*EXP(-$B$12*X$9))))</f>
        <v>0</v>
      </c>
      <c r="Y2118" s="52">
        <f>IF(Y2114=0,MAX(Y2112-Y2113,(Z$13*Z2111+Z$14*Z2125)*EXP(-$B$12*Z$9)),IF(Y2112&gt;Y2114,Y2112-Y2113,MAX(Y2112-Y2113,(Z$13*Z2111+Z$14*Z2125)*EXP(-$B$12*Z$9))))</f>
        <v>0</v>
      </c>
      <c r="AA2118" s="52">
        <f>IF(AA2114=0,MAX(AA2112-AA2113,(AB$13*AB2111+AB$14*AB2125)*EXP(-$B$12*AB$9)),IF(AA2112&gt;AA2114,AA2112-AA2113,MAX(AA2112-AA2113,(AB$13*AB2111+AB$14*AB2125)*EXP(-$B$12*AB$9))))</f>
        <v>0</v>
      </c>
      <c r="AC2118" s="52">
        <f>IF(AC2114=0,MAX(AC2112-AC2113,(AD$13*AD2111+AD$14*AD2125)*EXP(-$B$12*AD$9)),IF(AC2112&gt;AC2114,AC2112-AC2113,MAX(AC2112-AC2113,(AD$13*AD2111+AD$14*AD2125)*EXP(-$B$12*AD$9))))</f>
        <v>0</v>
      </c>
      <c r="AE2118" s="52">
        <f>IF(AE2114=0,MAX(AE2112-AE2113,(AF$13*AF2111+AF$14*AF2125)*EXP(-$B$12*AF$9)),IF(AE2112&gt;AE2114,AE2112-AE2113,MAX(AE2112-AE2113,(AF$13*AF2111+AF$14*AF2125)*EXP(-$B$12*AF$9))))</f>
        <v>0</v>
      </c>
    </row>
    <row r="2119" spans="23:32">
      <c r="X2119" s="48">
        <f>W2112*X$12</f>
        <v>7.451158312048424E-2</v>
      </c>
      <c r="Z2119" s="48">
        <f>Y2126*Z$11</f>
        <v>7.451158312048424E-2</v>
      </c>
      <c r="AB2119" s="48">
        <f>AA2126*AB$11</f>
        <v>7.451158312048424E-2</v>
      </c>
      <c r="AD2119" s="48">
        <f>AC2126*AD$11</f>
        <v>7.451158312048424E-2</v>
      </c>
      <c r="AF2119" s="48">
        <f>AE2126*AF$11</f>
        <v>7.451158312048424E-2</v>
      </c>
    </row>
    <row r="2120" spans="23:32">
      <c r="X2120" s="49">
        <f>X$18</f>
        <v>1</v>
      </c>
      <c r="Z2120" s="49">
        <f>Z$18</f>
        <v>1</v>
      </c>
      <c r="AB2120" s="49">
        <f>AB$18</f>
        <v>1</v>
      </c>
      <c r="AD2120" s="49">
        <f>AD$18</f>
        <v>1</v>
      </c>
      <c r="AF2120" s="49">
        <f>AF$18</f>
        <v>1</v>
      </c>
    </row>
    <row r="2121" spans="23:32">
      <c r="X2121" s="48">
        <f>X$19</f>
        <v>0</v>
      </c>
      <c r="Z2121" s="48">
        <f>Z$19</f>
        <v>0</v>
      </c>
      <c r="AB2121" s="48">
        <f>AB$19</f>
        <v>0</v>
      </c>
      <c r="AD2121" s="48">
        <f>AD$19</f>
        <v>0</v>
      </c>
      <c r="AF2121" s="48">
        <f>AF$19</f>
        <v>0</v>
      </c>
    </row>
    <row r="2122" spans="23:32">
      <c r="X2122" s="49"/>
      <c r="Z2122" s="49"/>
      <c r="AB2122" s="49"/>
      <c r="AD2122" s="49"/>
      <c r="AF2122" s="49"/>
    </row>
    <row r="2123" spans="23:32">
      <c r="X2123" s="50"/>
      <c r="Z2123" s="50"/>
      <c r="AB2123" s="50"/>
      <c r="AD2123" s="50"/>
      <c r="AF2123" s="50"/>
    </row>
    <row r="2124" spans="23:32">
      <c r="X2124" s="51"/>
      <c r="Z2124" s="51"/>
      <c r="AB2124" s="51"/>
      <c r="AD2124" s="51"/>
      <c r="AF2124" s="51"/>
    </row>
    <row r="2125" spans="23:32">
      <c r="X2125" s="52">
        <f>IF(X2121=0,MAX(X2119-X2120,(Y$13*Y2118+Y$14*Y2132)*EXP(-$B$12*Y$9)),IF(X2119&gt;X2121,X2119-X2120,MAX(X2119-X2120,(Y$13*Y2118+Y$14*Y2132)*EXP(-$B$12*Y$9))))</f>
        <v>0</v>
      </c>
      <c r="Z2125" s="52">
        <f>IF(Z2121=0,MAX(Z2119-Z2120,(AA$13*AA2118+AA$14*AA2132)*EXP(-$B$12*AA$9)),IF(Z2119&gt;Z2121,Z2119-Z2120,MAX(Z2119-Z2120,(AA$13*AA2118+AA$14*AA2132)*EXP(-$B$12*AA$9))))</f>
        <v>0</v>
      </c>
      <c r="AB2125" s="52">
        <f>IF(AB2121=0,MAX(AB2119-AB2120,(AC$13*AC2118+AC$14*AC2132)*EXP(-$B$12*AC$9)),IF(AB2119&gt;AB2121,AB2119-AB2120,MAX(AB2119-AB2120,(AC$13*AC2118+AC$14*AC2132)*EXP(-$B$12*AC$9))))</f>
        <v>0</v>
      </c>
      <c r="AD2125" s="52">
        <f>IF(AD2121=0,MAX(AD2119-AD2120,(AE$13*AE2118+AE$14*AE2132)*EXP(-$B$12*AE$9)),IF(AD2119&gt;AD2121,AD2119-AD2120,MAX(AD2119-AD2120,(AE$13*AE2118+AE$14*AE2132)*EXP(-$B$12*AE$9))))</f>
        <v>0</v>
      </c>
      <c r="AF2125" s="52">
        <f>IF(AF2121=0,MAX(AF2119-AF2120,(AG$13*AG2118+AG$14*AG2132)*EXP(-$B$12*AG$9)),IF(AF2119&gt;AF2121,AF2119-AF2120,MAX(AF2119-AF2120,(AG$13*AG2118+AG$14*AG2132)*EXP(-$B$12*AG$9))))</f>
        <v>0</v>
      </c>
    </row>
    <row r="2126" spans="23:32">
      <c r="Y2126" s="48">
        <f>X2119*Y$12</f>
        <v>6.7702175731213982E-2</v>
      </c>
      <c r="AA2126" s="48">
        <f>Z2133*AA$11</f>
        <v>6.7702175731213982E-2</v>
      </c>
      <c r="AC2126" s="48">
        <f>AB2133*AC$11</f>
        <v>6.7702175731213982E-2</v>
      </c>
      <c r="AE2126" s="48">
        <f>AD2133*AE$11</f>
        <v>6.7702175731213982E-2</v>
      </c>
    </row>
    <row r="2127" spans="23:32">
      <c r="Y2127" s="49">
        <f>Y$18</f>
        <v>1</v>
      </c>
      <c r="AA2127" s="49">
        <f>AA$18</f>
        <v>1</v>
      </c>
      <c r="AC2127" s="49">
        <f>AC$18</f>
        <v>1</v>
      </c>
      <c r="AE2127" s="49">
        <f>AE$18</f>
        <v>1</v>
      </c>
    </row>
    <row r="2128" spans="23:32">
      <c r="Y2128" s="48">
        <f>Y$19</f>
        <v>0</v>
      </c>
      <c r="AA2128" s="48">
        <f>AA$19</f>
        <v>0</v>
      </c>
      <c r="AC2128" s="48">
        <f>AC$19</f>
        <v>0</v>
      </c>
      <c r="AE2128" s="48">
        <f>AE$19</f>
        <v>0</v>
      </c>
    </row>
    <row r="2129" spans="25:32">
      <c r="Y2129" s="49"/>
      <c r="AA2129" s="49"/>
      <c r="AC2129" s="49"/>
      <c r="AE2129" s="49"/>
    </row>
    <row r="2130" spans="25:32">
      <c r="Y2130" s="50"/>
      <c r="AA2130" s="50"/>
      <c r="AC2130" s="50"/>
      <c r="AE2130" s="50"/>
    </row>
    <row r="2131" spans="25:32">
      <c r="Y2131" s="51"/>
      <c r="AA2131" s="51"/>
      <c r="AC2131" s="51"/>
      <c r="AE2131" s="51"/>
    </row>
    <row r="2132" spans="25:32">
      <c r="Y2132" s="52">
        <f>IF(Y2128=0,MAX(Y2126-Y2127,(Z$13*Z2125+Z$14*Z2139)*EXP(-$B$12*Z$9)),IF(Y2126&gt;Y2128,Y2126-Y2127,MAX(Y2126-Y2127,(Z$13*Z2125+Z$14*Z2139)*EXP(-$B$12*Z$9))))</f>
        <v>0</v>
      </c>
      <c r="AA2132" s="52">
        <f>IF(AA2128=0,MAX(AA2126-AA2127,(AB$13*AB2125+AB$14*AB2139)*EXP(-$B$12*AB$9)),IF(AA2126&gt;AA2128,AA2126-AA2127,MAX(AA2126-AA2127,(AB$13*AB2125+AB$14*AB2139)*EXP(-$B$12*AB$9))))</f>
        <v>0</v>
      </c>
      <c r="AC2132" s="52">
        <f>IF(AC2128=0,MAX(AC2126-AC2127,(AD$13*AD2125+AD$14*AD2139)*EXP(-$B$12*AD$9)),IF(AC2126&gt;AC2128,AC2126-AC2127,MAX(AC2126-AC2127,(AD$13*AD2125+AD$14*AD2139)*EXP(-$B$12*AD$9))))</f>
        <v>0</v>
      </c>
      <c r="AE2132" s="52">
        <f>IF(AE2128=0,MAX(AE2126-AE2127,(AF$13*AF2125+AF$14*AF2139)*EXP(-$B$12*AF$9)),IF(AE2126&gt;AE2128,AE2126-AE2127,MAX(AE2126-AE2127,(AF$13*AF2125+AF$14*AF2139)*EXP(-$B$12*AF$9))))</f>
        <v>0</v>
      </c>
    </row>
    <row r="2133" spans="25:32">
      <c r="Z2133" s="48">
        <f>Y2126*Z$12</f>
        <v>6.1515061239922716E-2</v>
      </c>
      <c r="AB2133" s="48">
        <f>AA2140*AB$11</f>
        <v>6.1515061239922716E-2</v>
      </c>
      <c r="AD2133" s="48">
        <f>AC2140*AD$11</f>
        <v>6.1515061239922716E-2</v>
      </c>
      <c r="AF2133" s="48">
        <f>AE2140*AF$11</f>
        <v>6.1515061239922716E-2</v>
      </c>
    </row>
    <row r="2134" spans="25:32">
      <c r="Z2134" s="49">
        <f>Z$18</f>
        <v>1</v>
      </c>
      <c r="AB2134" s="49">
        <f>AB$18</f>
        <v>1</v>
      </c>
      <c r="AD2134" s="49">
        <f>AD$18</f>
        <v>1</v>
      </c>
      <c r="AF2134" s="49">
        <f>AF$18</f>
        <v>1</v>
      </c>
    </row>
    <row r="2135" spans="25:32">
      <c r="Z2135" s="48">
        <f>Z$19</f>
        <v>0</v>
      </c>
      <c r="AB2135" s="48">
        <f>AB$19</f>
        <v>0</v>
      </c>
      <c r="AD2135" s="48">
        <f>AD$19</f>
        <v>0</v>
      </c>
      <c r="AF2135" s="48">
        <f>AF$19</f>
        <v>0</v>
      </c>
    </row>
    <row r="2136" spans="25:32">
      <c r="Z2136" s="49"/>
      <c r="AB2136" s="49"/>
      <c r="AD2136" s="49"/>
      <c r="AF2136" s="49"/>
    </row>
    <row r="2137" spans="25:32">
      <c r="Z2137" s="50"/>
      <c r="AB2137" s="50"/>
      <c r="AD2137" s="50"/>
      <c r="AF2137" s="50"/>
    </row>
    <row r="2138" spans="25:32">
      <c r="Z2138" s="51"/>
      <c r="AB2138" s="51"/>
      <c r="AD2138" s="51"/>
      <c r="AF2138" s="51"/>
    </row>
    <row r="2139" spans="25:32">
      <c r="Z2139" s="52">
        <f>IF(Z2135=0,MAX(Z2133-Z2134,(AA$13*AA2132+AA$14*AA2146)*EXP(-$B$12*AA$9)),IF(Z2133&gt;Z2135,Z2133-Z2134,MAX(Z2133-Z2134,(AA$13*AA2132+AA$14*AA2146)*EXP(-$B$12*AA$9))))</f>
        <v>0</v>
      </c>
      <c r="AB2139" s="52">
        <f>IF(AB2135=0,MAX(AB2133-AB2134,(AC$13*AC2132+AC$14*AC2146)*EXP(-$B$12*AC$9)),IF(AB2133&gt;AB2135,AB2133-AB2134,MAX(AB2133-AB2134,(AC$13*AC2132+AC$14*AC2146)*EXP(-$B$12*AC$9))))</f>
        <v>0</v>
      </c>
      <c r="AD2139" s="52">
        <f>IF(AD2135=0,MAX(AD2133-AD2134,(AE$13*AE2132+AE$14*AE2146)*EXP(-$B$12*AE$9)),IF(AD2133&gt;AD2135,AD2133-AD2134,MAX(AD2133-AD2134,(AE$13*AE2132+AE$14*AE2146)*EXP(-$B$12*AE$9))))</f>
        <v>0</v>
      </c>
      <c r="AF2139" s="52">
        <f>IF(AF2135=0,MAX(AF2133-AF2134,(AG$13*AG2132+AG$14*AG2146)*EXP(-$B$12*AG$9)),IF(AF2133&gt;AF2135,AF2133-AF2134,MAX(AF2133-AF2134,(AG$13*AG2132+AG$14*AG2146)*EXP(-$B$12*AG$9))))</f>
        <v>0</v>
      </c>
    </row>
    <row r="2140" spans="25:32">
      <c r="AA2140" s="48">
        <f>Z2133*AA$12</f>
        <v>5.5893370020703596E-2</v>
      </c>
      <c r="AC2140" s="48">
        <f>AB2147*AC$11</f>
        <v>5.5893370020703596E-2</v>
      </c>
      <c r="AE2140" s="48">
        <f>AD2147*AE$11</f>
        <v>5.5893370020703596E-2</v>
      </c>
    </row>
    <row r="2141" spans="25:32">
      <c r="AA2141" s="49">
        <f>AA$18</f>
        <v>1</v>
      </c>
      <c r="AC2141" s="49">
        <f>AC$18</f>
        <v>1</v>
      </c>
      <c r="AE2141" s="49">
        <f>AE$18</f>
        <v>1</v>
      </c>
    </row>
    <row r="2142" spans="25:32">
      <c r="AA2142" s="48">
        <f>AA$19</f>
        <v>0</v>
      </c>
      <c r="AC2142" s="48">
        <f>AC$19</f>
        <v>0</v>
      </c>
      <c r="AE2142" s="48">
        <f>AE$19</f>
        <v>0</v>
      </c>
    </row>
    <row r="2143" spans="25:32">
      <c r="AA2143" s="49"/>
      <c r="AC2143" s="49"/>
      <c r="AE2143" s="49"/>
    </row>
    <row r="2144" spans="25:32">
      <c r="AA2144" s="50"/>
      <c r="AC2144" s="50"/>
      <c r="AE2144" s="50"/>
    </row>
    <row r="2145" spans="27:32">
      <c r="AA2145" s="51"/>
      <c r="AC2145" s="51"/>
      <c r="AE2145" s="51"/>
    </row>
    <row r="2146" spans="27:32">
      <c r="AA2146" s="52">
        <f>IF(AA2142=0,MAX(AA2140-AA2141,(AB$13*AB2139+AB$14*AB2153)*EXP(-$B$12*AB$9)),IF(AA2140&gt;AA2142,AA2140-AA2141,MAX(AA2140-AA2141,(AB$13*AB2139+AB$14*AB2153)*EXP(-$B$12*AB$9))))</f>
        <v>0</v>
      </c>
      <c r="AC2146" s="52">
        <f>IF(AC2142=0,MAX(AC2140-AC2141,(AD$13*AD2139+AD$14*AD2153)*EXP(-$B$12*AD$9)),IF(AC2140&gt;AC2142,AC2140-AC2141,MAX(AC2140-AC2141,(AD$13*AD2139+AD$14*AD2153)*EXP(-$B$12*AD$9))))</f>
        <v>0</v>
      </c>
      <c r="AE2146" s="52">
        <f>IF(AE2142=0,MAX(AE2140-AE2141,(AF$13*AF2139+AF$14*AF2153)*EXP(-$B$12*AF$9)),IF(AE2140&gt;AE2142,AE2140-AE2141,MAX(AE2140-AE2141,(AF$13*AF2139+AF$14*AF2153)*EXP(-$B$12*AF$9))))</f>
        <v>0</v>
      </c>
    </row>
    <row r="2147" spans="27:32">
      <c r="AB2147" s="48">
        <f>AA2140*AB$12</f>
        <v>5.0785429605388982E-2</v>
      </c>
      <c r="AD2147" s="48">
        <f>AC2154*AD$11</f>
        <v>5.0785429605388982E-2</v>
      </c>
      <c r="AF2147" s="48">
        <f>AE2154*AF$11</f>
        <v>5.0785429605388982E-2</v>
      </c>
    </row>
    <row r="2148" spans="27:32">
      <c r="AB2148" s="49">
        <f>AB$18</f>
        <v>1</v>
      </c>
      <c r="AD2148" s="49">
        <f>AD$18</f>
        <v>1</v>
      </c>
      <c r="AF2148" s="49">
        <f>AF$18</f>
        <v>1</v>
      </c>
    </row>
    <row r="2149" spans="27:32">
      <c r="AB2149" s="48">
        <f>AB$19</f>
        <v>0</v>
      </c>
      <c r="AD2149" s="48">
        <f>AD$19</f>
        <v>0</v>
      </c>
      <c r="AF2149" s="48">
        <f>AF$19</f>
        <v>0</v>
      </c>
    </row>
    <row r="2150" spans="27:32">
      <c r="AB2150" s="49"/>
      <c r="AD2150" s="49"/>
      <c r="AF2150" s="49"/>
    </row>
    <row r="2151" spans="27:32">
      <c r="AB2151" s="50"/>
      <c r="AD2151" s="50"/>
      <c r="AF2151" s="50"/>
    </row>
    <row r="2152" spans="27:32">
      <c r="AB2152" s="51"/>
      <c r="AD2152" s="51"/>
      <c r="AF2152" s="51"/>
    </row>
    <row r="2153" spans="27:32">
      <c r="AB2153" s="52">
        <f>IF(AB2149=0,MAX(AB2147-AB2148,(AC$13*AC2146+AC$14*AC2160)*EXP(-$B$12*AC$9)),IF(AB2147&gt;AB2149,AB2147-AB2148,MAX(AB2147-AB2148,(AC$13*AC2146+AC$14*AC2160)*EXP(-$B$12*AC$9))))</f>
        <v>0</v>
      </c>
      <c r="AD2153" s="52">
        <f>IF(AD2149=0,MAX(AD2147-AD2148,(AE$13*AE2146+AE$14*AE2160)*EXP(-$B$12*AE$9)),IF(AD2147&gt;AD2149,AD2147-AD2148,MAX(AD2147-AD2148,(AE$13*AE2146+AE$14*AE2160)*EXP(-$B$12*AE$9))))</f>
        <v>0</v>
      </c>
      <c r="AF2153" s="52">
        <f>IF(AF2149=0,MAX(AF2147-AF2148,(AG$13*AG2146+AG$14*AG2160)*EXP(-$B$12*AG$9)),IF(AF2147&gt;AF2149,AF2147-AF2148,MAX(AF2147-AF2148,(AG$13*AG2146+AG$14*AG2160)*EXP(-$B$12*AG$9))))</f>
        <v>0</v>
      </c>
    </row>
    <row r="2154" spans="27:32">
      <c r="AC2154" s="48">
        <f>AB2147*AC$12</f>
        <v>4.614428972968649E-2</v>
      </c>
      <c r="AE2154" s="48">
        <f>AD2161*AE$11</f>
        <v>4.614428972968649E-2</v>
      </c>
    </row>
    <row r="2155" spans="27:32">
      <c r="AC2155" s="49">
        <f>AC$18</f>
        <v>1</v>
      </c>
      <c r="AE2155" s="49">
        <f>AE$18</f>
        <v>1</v>
      </c>
    </row>
    <row r="2156" spans="27:32">
      <c r="AC2156" s="48">
        <f>AC$19</f>
        <v>0</v>
      </c>
      <c r="AE2156" s="48">
        <f>AE$19</f>
        <v>0</v>
      </c>
    </row>
    <row r="2157" spans="27:32">
      <c r="AC2157" s="49"/>
      <c r="AE2157" s="49"/>
    </row>
    <row r="2158" spans="27:32">
      <c r="AC2158" s="50"/>
      <c r="AE2158" s="50"/>
    </row>
    <row r="2159" spans="27:32">
      <c r="AC2159" s="51"/>
      <c r="AE2159" s="51"/>
    </row>
    <row r="2160" spans="27:32">
      <c r="AC2160" s="52">
        <f>IF(AC2156=0,MAX(AC2154-AC2155,(AD$13*AD2153+AD$14*AD2167)*EXP(-$B$12*AD$9)),IF(AC2154&gt;AC2156,AC2154-AC2155,MAX(AC2154-AC2155,(AD$13*AD2153+AD$14*AD2167)*EXP(-$B$12*AD$9))))</f>
        <v>0</v>
      </c>
      <c r="AE2160" s="52">
        <f>IF(AE2156=0,MAX(AE2154-AE2155,(AF$13*AF2153+AF$14*AF2167)*EXP(-$B$12*AF$9)),IF(AE2154&gt;AE2156,AE2154-AE2155,MAX(AE2154-AE2155,(AF$13*AF2153+AF$14*AF2167)*EXP(-$B$12*AF$9))))</f>
        <v>0</v>
      </c>
    </row>
    <row r="2161" spans="30:32">
      <c r="AD2161" s="48">
        <f>AC2154*AD$12</f>
        <v>4.1927290784034336E-2</v>
      </c>
      <c r="AF2161" s="48">
        <f>AE2168*AF$11</f>
        <v>4.1927290784034336E-2</v>
      </c>
    </row>
    <row r="2162" spans="30:32">
      <c r="AD2162" s="49">
        <f>AD$18</f>
        <v>1</v>
      </c>
      <c r="AF2162" s="49">
        <f>AF$18</f>
        <v>1</v>
      </c>
    </row>
    <row r="2163" spans="30:32">
      <c r="AD2163" s="48">
        <f>AD$19</f>
        <v>0</v>
      </c>
      <c r="AF2163" s="48">
        <f>AF$19</f>
        <v>0</v>
      </c>
    </row>
    <row r="2164" spans="30:32">
      <c r="AD2164" s="49"/>
      <c r="AF2164" s="49"/>
    </row>
    <row r="2165" spans="30:32">
      <c r="AD2165" s="50"/>
      <c r="AF2165" s="50"/>
    </row>
    <row r="2166" spans="30:32">
      <c r="AD2166" s="51"/>
      <c r="AF2166" s="51"/>
    </row>
    <row r="2167" spans="30:32">
      <c r="AD2167" s="52">
        <f>IF(AD2163=0,MAX(AD2161-AD2162,(AE$13*AE2160+AE$14*AE2174)*EXP(-$B$12*AE$9)),IF(AD2161&gt;AD2163,AD2161-AD2162,MAX(AD2161-AD2162,(AE$13*AE2160+AE$14*AE2174)*EXP(-$B$12*AE$9))))</f>
        <v>0</v>
      </c>
      <c r="AF2167" s="52">
        <f>IF(AF2163=0,MAX(AF2161-AF2162,(AG$13*AG2160+AG$14*AG2174)*EXP(-$B$12*AG$9)),IF(AF2161&gt;AF2163,AF2161-AF2162,MAX(AF2161-AF2162,(AG$13*AG2160+AG$14*AG2174)*EXP(-$B$12*AG$9))))</f>
        <v>0</v>
      </c>
    </row>
    <row r="2168" spans="30:32">
      <c r="AE2168" s="48">
        <f>AD2161*AE$12</f>
        <v>3.809567170253883E-2</v>
      </c>
    </row>
    <row r="2169" spans="30:32">
      <c r="AE2169" s="49">
        <f>AE$18</f>
        <v>1</v>
      </c>
    </row>
    <row r="2170" spans="30:32">
      <c r="AE2170" s="48">
        <f>AE$19</f>
        <v>0</v>
      </c>
    </row>
    <row r="2171" spans="30:32">
      <c r="AE2171" s="49"/>
    </row>
    <row r="2172" spans="30:32">
      <c r="AE2172" s="50"/>
    </row>
    <row r="2173" spans="30:32">
      <c r="AE2173" s="51"/>
    </row>
    <row r="2174" spans="30:32">
      <c r="AE2174" s="52">
        <f>IF(AE2170=0,MAX(AE2168-AE2169,(AF$13*AF2167+AF$14*AF2181)*EXP(-$B$12*AF$9)),IF(AE2168&gt;AE2170,AE2168-AE2169,MAX(AE2168-AE2169,(AF$13*AF2167+AF$14*AF2181)*EXP(-$B$12*AF$9))))</f>
        <v>0</v>
      </c>
    </row>
    <row r="2175" spans="30:32">
      <c r="AF2175" s="48">
        <f>AE2168*AF$12</f>
        <v>3.4614213685856772E-2</v>
      </c>
    </row>
    <row r="2176" spans="30:32">
      <c r="AF2176" s="49">
        <f>AF$18</f>
        <v>1</v>
      </c>
    </row>
    <row r="2177" spans="32:32">
      <c r="AF2177" s="48">
        <f>AF$19</f>
        <v>0</v>
      </c>
    </row>
    <row r="2178" spans="32:32">
      <c r="AF2178" s="49"/>
    </row>
    <row r="2179" spans="32:32">
      <c r="AF2179" s="50"/>
    </row>
    <row r="2180" spans="32:32">
      <c r="AF2180" s="51"/>
    </row>
    <row r="2181" spans="32:32">
      <c r="AF2181" s="52">
        <f>IF(AF2177=0,MAX(AF2175-AF2176,(AG$13*AG2174+AG$14*AG2188)*EXP(-$B$12*AG$9)),IF(AF2175&gt;AF2177,AF2175-AF2176,MAX(AF2175-AF2176,(AG$13*AG2174+AG$14*AG2188)*EXP(-$B$12*AG$9))))</f>
        <v>0</v>
      </c>
    </row>
    <row r="3019" spans="6:9">
      <c r="H3019" s="47"/>
      <c r="I3019" s="19"/>
    </row>
    <row r="3020" spans="6:9">
      <c r="F3020" s="24"/>
      <c r="H3020" s="18"/>
    </row>
    <row r="3021" spans="6:9">
      <c r="F3021" s="24"/>
      <c r="H3021" s="18"/>
    </row>
    <row r="3022" spans="6:9">
      <c r="F3022" s="24"/>
      <c r="H3022" s="19"/>
    </row>
    <row r="3023" spans="6:9">
      <c r="F3023" s="24"/>
      <c r="H3023" s="19"/>
    </row>
    <row r="3024" spans="6:9">
      <c r="F3024" s="24"/>
      <c r="H3024" s="19"/>
    </row>
    <row r="3025" spans="9:9">
      <c r="I3025" s="18"/>
    </row>
    <row r="3026" spans="9:9">
      <c r="I3026" s="18"/>
    </row>
    <row r="3027" spans="9:9">
      <c r="I3027" s="19"/>
    </row>
    <row r="3028" spans="9:9">
      <c r="I3028" s="19"/>
    </row>
    <row r="3029" spans="9:9">
      <c r="I3029" s="19"/>
    </row>
  </sheetData>
  <phoneticPr fontId="2" type="noConversion"/>
  <pageMargins left="0.74803149606299213" right="0.74803149606299213" top="0.74803149606299213" bottom="0.74803149606299213" header="0.51181102362204722" footer="0.51181102362204722"/>
  <pageSetup paperSize="9" scale="80" orientation="landscape" r:id="rId1"/>
  <headerFooter alignWithMargins="0">
    <oddFooter>&amp;C&amp;"Arial,Regular"&amp;8&amp;Z&amp;F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inomial_CB_S">
                <anchor moveWithCells="1" sizeWithCells="1">
                  <from>
                    <xdr:col>3</xdr:col>
                    <xdr:colOff>25400</xdr:colOff>
                    <xdr:row>17</xdr:row>
                    <xdr:rowOff>25400</xdr:rowOff>
                  </from>
                  <to>
                    <xdr:col>4</xdr:col>
                    <xdr:colOff>12700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CB_S</vt:lpstr>
      <vt:lpstr>CB_S!Print_Area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CHEN Chuqi</cp:lastModifiedBy>
  <cp:lastPrinted>2009-09-22T03:17:43Z</cp:lastPrinted>
  <dcterms:created xsi:type="dcterms:W3CDTF">2007-07-03T10:36:26Z</dcterms:created>
  <dcterms:modified xsi:type="dcterms:W3CDTF">2025-06-21T15:26:42Z</dcterms:modified>
</cp:coreProperties>
</file>